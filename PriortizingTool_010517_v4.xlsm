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ers\miharris\Dropbox\Programming\VBA\CulvertScoringRanking\"/>
    </mc:Choice>
  </mc:AlternateContent>
  <bookViews>
    <workbookView xWindow="0" yWindow="0" windowWidth="25200" windowHeight="11985" activeTab="3"/>
  </bookViews>
  <sheets>
    <sheet name="Directions" sheetId="12" r:id="rId1"/>
    <sheet name="data" sheetId="1" r:id="rId2"/>
    <sheet name="AUtrue" sheetId="5" r:id="rId3"/>
    <sheet name="Score Matrix" sheetId="10" r:id="rId4"/>
    <sheet name="Ranked" sheetId="9" r:id="rId5"/>
  </sheets>
  <externalReferences>
    <externalReference r:id="rId6"/>
  </externalReferences>
  <definedNames>
    <definedName name="Crossing_Type">'[1]Drop down choices'!$A$2:$A$5</definedName>
    <definedName name="Culvert_Type">'[1]Drop down choices'!$C$2:$C$4</definedName>
    <definedName name="Limiting_Factor">'[1]Drop down choices'!$G$2:$G$17</definedName>
    <definedName name="LimitingFactors">'[1]Drop down choices'!$G$2:$G$17</definedName>
    <definedName name="Material">'[1]Drop down choices'!$E$2:$E$6</definedName>
    <definedName name="Number">'[1]Drop down choices'!$H$2:$H$11</definedName>
    <definedName name="Opening_Shape">'[1]Drop down choices'!$D$2:$D$7</definedName>
    <definedName name="Rank">'[1]Drop down choices'!$F$2:$F$4</definedName>
    <definedName name="Surveyor">'[1]Drop down choices'!$I$2:$I$9</definedName>
    <definedName name="YN">'[1]Drop down choices'!$B$2:$B$3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B3" i="9"/>
  <c r="A15" i="9"/>
  <c r="B15" i="9"/>
  <c r="A28" i="9"/>
  <c r="B28" i="9"/>
  <c r="A13" i="9"/>
  <c r="B13" i="9"/>
  <c r="A14" i="9"/>
  <c r="B14" i="9"/>
  <c r="A7" i="9"/>
  <c r="B7" i="9"/>
  <c r="A17" i="9"/>
  <c r="B17" i="9"/>
  <c r="A18" i="9"/>
  <c r="B18" i="9"/>
  <c r="A20" i="9"/>
  <c r="B20" i="9"/>
  <c r="A21" i="9"/>
  <c r="B21" i="9"/>
  <c r="A22" i="9"/>
  <c r="B22" i="9"/>
  <c r="A6" i="9"/>
  <c r="B6" i="9"/>
  <c r="A19" i="9"/>
  <c r="B19" i="9"/>
  <c r="A32" i="9"/>
  <c r="B32" i="9"/>
  <c r="A10" i="9"/>
  <c r="B10" i="9"/>
  <c r="A9" i="9"/>
  <c r="B9" i="9"/>
  <c r="A8" i="9"/>
  <c r="B8" i="9"/>
  <c r="A25" i="9"/>
  <c r="B25" i="9"/>
  <c r="A4" i="9"/>
  <c r="B4" i="9"/>
  <c r="A2" i="9"/>
  <c r="B2" i="9"/>
  <c r="A33" i="9"/>
  <c r="B33" i="9"/>
  <c r="A11" i="9"/>
  <c r="B11" i="9"/>
  <c r="A30" i="9"/>
  <c r="B30" i="9"/>
  <c r="A23" i="9"/>
  <c r="B23" i="9"/>
  <c r="A24" i="9"/>
  <c r="B24" i="9"/>
  <c r="A26" i="9"/>
  <c r="B26" i="9"/>
  <c r="A27" i="9"/>
  <c r="B27" i="9"/>
  <c r="A34" i="9"/>
  <c r="B34" i="9"/>
  <c r="A35" i="9"/>
  <c r="B35" i="9"/>
  <c r="A31" i="9"/>
  <c r="B31" i="9"/>
  <c r="A12" i="9"/>
  <c r="B12" i="9"/>
  <c r="A5" i="9"/>
  <c r="B5" i="9"/>
  <c r="A29" i="9"/>
  <c r="B29" i="9"/>
  <c r="A16" i="9"/>
  <c r="B16" i="9"/>
  <c r="A14" i="10"/>
  <c r="B14" i="10"/>
  <c r="C14" i="10"/>
  <c r="J14" i="10" s="1"/>
  <c r="D14" i="10"/>
  <c r="E14" i="10"/>
  <c r="F14" i="10"/>
  <c r="G14" i="10"/>
  <c r="I14" i="10"/>
  <c r="A15" i="10"/>
  <c r="B15" i="10"/>
  <c r="J15" i="10" s="1"/>
  <c r="C15" i="10"/>
  <c r="D15" i="10"/>
  <c r="E15" i="10"/>
  <c r="F15" i="10"/>
  <c r="G15" i="10"/>
  <c r="I15" i="10"/>
  <c r="A16" i="10"/>
  <c r="B16" i="10"/>
  <c r="J16" i="10" s="1"/>
  <c r="C16" i="10"/>
  <c r="D16" i="10"/>
  <c r="E16" i="10"/>
  <c r="F16" i="10"/>
  <c r="G16" i="10"/>
  <c r="I16" i="10"/>
  <c r="A17" i="10"/>
  <c r="B17" i="10"/>
  <c r="C17" i="10"/>
  <c r="D17" i="10"/>
  <c r="E17" i="10"/>
  <c r="F17" i="10"/>
  <c r="G17" i="10"/>
  <c r="I17" i="10"/>
  <c r="J17" i="10"/>
  <c r="A18" i="10"/>
  <c r="B18" i="10"/>
  <c r="C18" i="10"/>
  <c r="J18" i="10" s="1"/>
  <c r="D18" i="10"/>
  <c r="E18" i="10"/>
  <c r="F18" i="10"/>
  <c r="G18" i="10"/>
  <c r="I18" i="10"/>
  <c r="A19" i="10"/>
  <c r="B19" i="10"/>
  <c r="J19" i="10" s="1"/>
  <c r="C19" i="10"/>
  <c r="D19" i="10"/>
  <c r="E19" i="10"/>
  <c r="F19" i="10"/>
  <c r="G19" i="10"/>
  <c r="I19" i="10"/>
  <c r="A20" i="10"/>
  <c r="B20" i="10"/>
  <c r="J20" i="10" s="1"/>
  <c r="C20" i="10"/>
  <c r="D20" i="10"/>
  <c r="E20" i="10"/>
  <c r="F20" i="10"/>
  <c r="G20" i="10"/>
  <c r="I20" i="10"/>
  <c r="A21" i="10"/>
  <c r="B21" i="10"/>
  <c r="C21" i="10"/>
  <c r="D21" i="10"/>
  <c r="E21" i="10"/>
  <c r="F21" i="10"/>
  <c r="G21" i="10"/>
  <c r="I21" i="10"/>
  <c r="J21" i="10"/>
  <c r="A22" i="10"/>
  <c r="B22" i="10"/>
  <c r="C22" i="10"/>
  <c r="J22" i="10" s="1"/>
  <c r="D22" i="10"/>
  <c r="E22" i="10"/>
  <c r="F22" i="10"/>
  <c r="G22" i="10"/>
  <c r="I22" i="10"/>
  <c r="A23" i="10"/>
  <c r="B23" i="10"/>
  <c r="J23" i="10" s="1"/>
  <c r="C23" i="10"/>
  <c r="D23" i="10"/>
  <c r="E23" i="10"/>
  <c r="F23" i="10"/>
  <c r="G23" i="10"/>
  <c r="I23" i="10"/>
  <c r="A24" i="10"/>
  <c r="B24" i="10"/>
  <c r="J24" i="10" s="1"/>
  <c r="C24" i="10"/>
  <c r="D24" i="10"/>
  <c r="E24" i="10"/>
  <c r="F24" i="10"/>
  <c r="G24" i="10"/>
  <c r="I24" i="10"/>
  <c r="A25" i="10"/>
  <c r="B25" i="10"/>
  <c r="C25" i="10"/>
  <c r="D25" i="10"/>
  <c r="E25" i="10"/>
  <c r="F25" i="10"/>
  <c r="G25" i="10"/>
  <c r="I25" i="10"/>
  <c r="J25" i="10"/>
  <c r="A26" i="10"/>
  <c r="B26" i="10"/>
  <c r="C26" i="10"/>
  <c r="J26" i="10" s="1"/>
  <c r="D26" i="10"/>
  <c r="E26" i="10"/>
  <c r="F26" i="10"/>
  <c r="G26" i="10"/>
  <c r="I26" i="10"/>
  <c r="A27" i="10"/>
  <c r="B27" i="10"/>
  <c r="J27" i="10" s="1"/>
  <c r="C27" i="10"/>
  <c r="D27" i="10"/>
  <c r="E27" i="10"/>
  <c r="F27" i="10"/>
  <c r="G27" i="10"/>
  <c r="I27" i="10"/>
  <c r="A28" i="10"/>
  <c r="B28" i="10"/>
  <c r="J28" i="10" s="1"/>
  <c r="C28" i="10"/>
  <c r="D28" i="10"/>
  <c r="E28" i="10"/>
  <c r="F28" i="10"/>
  <c r="G28" i="10"/>
  <c r="I28" i="10"/>
  <c r="A29" i="10"/>
  <c r="B29" i="10"/>
  <c r="C29" i="10"/>
  <c r="D29" i="10"/>
  <c r="E29" i="10"/>
  <c r="J29" i="10" s="1"/>
  <c r="F29" i="10"/>
  <c r="G29" i="10"/>
  <c r="I29" i="10"/>
  <c r="A30" i="10"/>
  <c r="B30" i="10"/>
  <c r="J30" i="10" s="1"/>
  <c r="C30" i="10"/>
  <c r="D30" i="10"/>
  <c r="E30" i="10"/>
  <c r="F30" i="10"/>
  <c r="G30" i="10"/>
  <c r="I30" i="10"/>
  <c r="A31" i="10"/>
  <c r="B31" i="10"/>
  <c r="J31" i="10" s="1"/>
  <c r="C31" i="10"/>
  <c r="D31" i="10"/>
  <c r="E31" i="10"/>
  <c r="F31" i="10"/>
  <c r="G31" i="10"/>
  <c r="I31" i="10"/>
  <c r="A32" i="10"/>
  <c r="B32" i="10"/>
  <c r="J32" i="10" s="1"/>
  <c r="C32" i="10"/>
  <c r="D32" i="10"/>
  <c r="E32" i="10"/>
  <c r="F32" i="10"/>
  <c r="G32" i="10"/>
  <c r="I32" i="10"/>
  <c r="A33" i="10"/>
  <c r="B33" i="10"/>
  <c r="C33" i="10"/>
  <c r="D33" i="10"/>
  <c r="E33" i="10"/>
  <c r="F33" i="10"/>
  <c r="G33" i="10"/>
  <c r="I33" i="10"/>
  <c r="J33" i="10"/>
  <c r="A34" i="10"/>
  <c r="B34" i="10"/>
  <c r="C34" i="10"/>
  <c r="J34" i="10" s="1"/>
  <c r="D34" i="10"/>
  <c r="E34" i="10"/>
  <c r="F34" i="10"/>
  <c r="G34" i="10"/>
  <c r="I34" i="10"/>
  <c r="A35" i="10"/>
  <c r="B35" i="10"/>
  <c r="J35" i="10" s="1"/>
  <c r="C35" i="10"/>
  <c r="D35" i="10"/>
  <c r="E35" i="10"/>
  <c r="F35" i="10"/>
  <c r="G35" i="10"/>
  <c r="I35" i="10"/>
  <c r="A36" i="10"/>
  <c r="B36" i="10"/>
  <c r="J36" i="10" s="1"/>
  <c r="C36" i="10"/>
  <c r="D36" i="10"/>
  <c r="E36" i="10"/>
  <c r="F36" i="10"/>
  <c r="G36" i="10"/>
  <c r="I36" i="10"/>
  <c r="A37" i="10"/>
  <c r="B37" i="10"/>
  <c r="C37" i="10"/>
  <c r="D37" i="10"/>
  <c r="E37" i="10"/>
  <c r="J37" i="10" s="1"/>
  <c r="F37" i="10"/>
  <c r="G37" i="10"/>
  <c r="I37" i="10"/>
  <c r="A38" i="10"/>
  <c r="B38" i="10"/>
  <c r="C38" i="10"/>
  <c r="J38" i="10" s="1"/>
  <c r="D38" i="10"/>
  <c r="E38" i="10"/>
  <c r="F38" i="10"/>
  <c r="G38" i="10"/>
  <c r="I38" i="10"/>
  <c r="A39" i="10"/>
  <c r="B39" i="10"/>
  <c r="J39" i="10" s="1"/>
  <c r="C39" i="10"/>
  <c r="D39" i="10"/>
  <c r="E39" i="10"/>
  <c r="F39" i="10"/>
  <c r="G39" i="10"/>
  <c r="I39" i="10"/>
  <c r="A40" i="10"/>
  <c r="B40" i="10"/>
  <c r="J40" i="10" s="1"/>
  <c r="C40" i="10"/>
  <c r="D40" i="10"/>
  <c r="E40" i="10"/>
  <c r="F40" i="10"/>
  <c r="G40" i="10"/>
  <c r="I40" i="10"/>
  <c r="A41" i="10"/>
  <c r="B41" i="10"/>
  <c r="C41" i="10"/>
  <c r="D41" i="10"/>
  <c r="E41" i="10"/>
  <c r="J41" i="10" s="1"/>
  <c r="F41" i="10"/>
  <c r="G41" i="10"/>
  <c r="I41" i="10"/>
  <c r="A42" i="10"/>
  <c r="B42" i="10"/>
  <c r="C42" i="10"/>
  <c r="J42" i="10" s="1"/>
  <c r="D42" i="10"/>
  <c r="E42" i="10"/>
  <c r="F42" i="10"/>
  <c r="G42" i="10"/>
  <c r="I42" i="10"/>
  <c r="A43" i="10"/>
  <c r="B43" i="10"/>
  <c r="J43" i="10" s="1"/>
  <c r="C43" i="10"/>
  <c r="D43" i="10"/>
  <c r="E43" i="10"/>
  <c r="F43" i="10"/>
  <c r="G43" i="10"/>
  <c r="I43" i="10"/>
  <c r="A44" i="10"/>
  <c r="B44" i="10"/>
  <c r="J44" i="10" s="1"/>
  <c r="C44" i="10"/>
  <c r="D44" i="10"/>
  <c r="E44" i="10"/>
  <c r="F44" i="10"/>
  <c r="G44" i="10"/>
  <c r="I44" i="10"/>
  <c r="A45" i="10"/>
  <c r="B45" i="10"/>
  <c r="C45" i="10"/>
  <c r="D45" i="10"/>
  <c r="E45" i="10"/>
  <c r="F45" i="10"/>
  <c r="G45" i="10"/>
  <c r="I45" i="10"/>
  <c r="J45" i="10"/>
  <c r="A46" i="10"/>
  <c r="B46" i="10"/>
  <c r="C46" i="10"/>
  <c r="J46" i="10" s="1"/>
  <c r="D46" i="10"/>
  <c r="E46" i="10"/>
  <c r="F46" i="10"/>
  <c r="G46" i="10"/>
  <c r="I46" i="10"/>
  <c r="A47" i="10"/>
  <c r="B47" i="10"/>
  <c r="J47" i="10" s="1"/>
  <c r="C47" i="10"/>
  <c r="D47" i="10"/>
  <c r="E47" i="10"/>
  <c r="F47" i="10"/>
  <c r="G47" i="10"/>
  <c r="I47" i="10"/>
  <c r="A48" i="10"/>
  <c r="B48" i="10"/>
  <c r="J48" i="10" s="1"/>
  <c r="C48" i="10"/>
  <c r="D48" i="10"/>
  <c r="E48" i="10"/>
  <c r="F48" i="10"/>
  <c r="G48" i="10"/>
  <c r="I48" i="10"/>
  <c r="A49" i="10"/>
  <c r="B49" i="10"/>
  <c r="C49" i="10"/>
  <c r="D49" i="10"/>
  <c r="E49" i="10"/>
  <c r="F49" i="10"/>
  <c r="G49" i="10"/>
  <c r="I49" i="10"/>
  <c r="J49" i="10"/>
  <c r="A50" i="10"/>
  <c r="B50" i="10"/>
  <c r="C50" i="10"/>
  <c r="J50" i="10" s="1"/>
  <c r="D50" i="10"/>
  <c r="E50" i="10"/>
  <c r="F50" i="10"/>
  <c r="G50" i="10"/>
  <c r="I50" i="10"/>
  <c r="A51" i="10"/>
  <c r="B51" i="10"/>
  <c r="J51" i="10" s="1"/>
  <c r="C51" i="10"/>
  <c r="D51" i="10"/>
  <c r="E51" i="10"/>
  <c r="F51" i="10"/>
  <c r="G51" i="10"/>
  <c r="I51" i="10"/>
  <c r="A52" i="10"/>
  <c r="B52" i="10"/>
  <c r="J52" i="10" s="1"/>
  <c r="C52" i="10"/>
  <c r="D52" i="10"/>
  <c r="E52" i="10"/>
  <c r="F52" i="10"/>
  <c r="G52" i="10"/>
  <c r="I52" i="10"/>
  <c r="A53" i="10"/>
  <c r="B53" i="10"/>
  <c r="C53" i="10"/>
  <c r="D53" i="10"/>
  <c r="E53" i="10"/>
  <c r="J53" i="10" s="1"/>
  <c r="F53" i="10"/>
  <c r="G53" i="10"/>
  <c r="I53" i="10"/>
  <c r="A54" i="10"/>
  <c r="B54" i="10"/>
  <c r="C54" i="10"/>
  <c r="J54" i="10" s="1"/>
  <c r="D54" i="10"/>
  <c r="E54" i="10"/>
  <c r="F54" i="10"/>
  <c r="G54" i="10"/>
  <c r="I54" i="10"/>
  <c r="A55" i="10"/>
  <c r="B55" i="10"/>
  <c r="J55" i="10" s="1"/>
  <c r="C55" i="10"/>
  <c r="D55" i="10"/>
  <c r="E55" i="10"/>
  <c r="F55" i="10"/>
  <c r="G55" i="10"/>
  <c r="I55" i="10"/>
  <c r="A56" i="10"/>
  <c r="B56" i="10"/>
  <c r="J56" i="10" s="1"/>
  <c r="C56" i="10"/>
  <c r="D56" i="10"/>
  <c r="E56" i="10"/>
  <c r="F56" i="10"/>
  <c r="G56" i="10"/>
  <c r="I56" i="10"/>
  <c r="A57" i="10"/>
  <c r="B57" i="10"/>
  <c r="C57" i="10"/>
  <c r="D57" i="10"/>
  <c r="E57" i="10"/>
  <c r="F57" i="10"/>
  <c r="G57" i="10"/>
  <c r="I57" i="10"/>
  <c r="J57" i="10"/>
  <c r="A58" i="10"/>
  <c r="B58" i="10"/>
  <c r="C58" i="10"/>
  <c r="J58" i="10" s="1"/>
  <c r="D58" i="10"/>
  <c r="E58" i="10"/>
  <c r="F58" i="10"/>
  <c r="G58" i="10"/>
  <c r="I58" i="10"/>
  <c r="A59" i="10"/>
  <c r="B59" i="10"/>
  <c r="J59" i="10" s="1"/>
  <c r="C59" i="10"/>
  <c r="D59" i="10"/>
  <c r="E59" i="10"/>
  <c r="F59" i="10"/>
  <c r="G59" i="10"/>
  <c r="I59" i="10"/>
  <c r="A60" i="10"/>
  <c r="B60" i="10"/>
  <c r="J60" i="10" s="1"/>
  <c r="C60" i="10"/>
  <c r="D60" i="10"/>
  <c r="E60" i="10"/>
  <c r="F60" i="10"/>
  <c r="G60" i="10"/>
  <c r="I60" i="10"/>
  <c r="A61" i="10"/>
  <c r="B61" i="10"/>
  <c r="C61" i="10"/>
  <c r="D61" i="10"/>
  <c r="E61" i="10"/>
  <c r="J61" i="10" s="1"/>
  <c r="F61" i="10"/>
  <c r="G61" i="10"/>
  <c r="I61" i="10"/>
  <c r="A62" i="10"/>
  <c r="B62" i="10"/>
  <c r="C62" i="10"/>
  <c r="J62" i="10" s="1"/>
  <c r="D62" i="10"/>
  <c r="E62" i="10"/>
  <c r="F62" i="10"/>
  <c r="G62" i="10"/>
  <c r="I62" i="10"/>
  <c r="A63" i="10"/>
  <c r="B63" i="10"/>
  <c r="J63" i="10" s="1"/>
  <c r="C63" i="10"/>
  <c r="D63" i="10"/>
  <c r="E63" i="10"/>
  <c r="F63" i="10"/>
  <c r="G63" i="10"/>
  <c r="I63" i="10"/>
  <c r="A64" i="10"/>
  <c r="B64" i="10"/>
  <c r="J64" i="10" s="1"/>
  <c r="C64" i="10"/>
  <c r="D64" i="10"/>
  <c r="E64" i="10"/>
  <c r="F64" i="10"/>
  <c r="G64" i="10"/>
  <c r="I64" i="10"/>
  <c r="A65" i="10"/>
  <c r="B65" i="10"/>
  <c r="C65" i="10"/>
  <c r="D65" i="10"/>
  <c r="E65" i="10"/>
  <c r="F65" i="10"/>
  <c r="G65" i="10"/>
  <c r="I65" i="10"/>
  <c r="J65" i="10"/>
  <c r="A66" i="10"/>
  <c r="B66" i="10"/>
  <c r="C66" i="10"/>
  <c r="J66" i="10" s="1"/>
  <c r="D66" i="10"/>
  <c r="E66" i="10"/>
  <c r="F66" i="10"/>
  <c r="G66" i="10"/>
  <c r="I66" i="10"/>
  <c r="A13" i="10"/>
  <c r="B13" i="10"/>
  <c r="J13" i="10" s="1"/>
  <c r="C13" i="10"/>
  <c r="D13" i="10"/>
  <c r="E13" i="10"/>
  <c r="F13" i="10"/>
  <c r="G13" i="10"/>
  <c r="I13" i="10"/>
  <c r="AT54" i="5"/>
  <c r="AO54" i="5"/>
  <c r="AP54" i="5" s="1"/>
  <c r="AK54" i="5"/>
  <c r="AR54" i="5" s="1"/>
  <c r="AO53" i="5"/>
  <c r="AP53" i="5" s="1"/>
  <c r="AK53" i="5"/>
  <c r="AR53" i="5" s="1"/>
  <c r="AO52" i="5"/>
  <c r="AP52" i="5" s="1"/>
  <c r="AK52" i="5"/>
  <c r="AR52" i="5" s="1"/>
  <c r="AT51" i="5"/>
  <c r="AO51" i="5"/>
  <c r="AP51" i="5" s="1"/>
  <c r="AK51" i="5"/>
  <c r="AR51" i="5" s="1"/>
  <c r="AT50" i="5"/>
  <c r="AO50" i="5"/>
  <c r="AP50" i="5" s="1"/>
  <c r="AK50" i="5"/>
  <c r="AR50" i="5" s="1"/>
  <c r="AT49" i="5"/>
  <c r="AO49" i="5"/>
  <c r="AP49" i="5" s="1"/>
  <c r="AK49" i="5"/>
  <c r="AR49" i="5" s="1"/>
  <c r="AO48" i="5"/>
  <c r="AP48" i="5" s="1"/>
  <c r="AK48" i="5"/>
  <c r="AR48" i="5" s="1"/>
  <c r="AP47" i="5"/>
  <c r="AO47" i="5"/>
  <c r="AK47" i="5"/>
  <c r="AR47" i="5" s="1"/>
  <c r="AO46" i="5"/>
  <c r="AP46" i="5" s="1"/>
  <c r="AK46" i="5"/>
  <c r="AR46" i="5" s="1"/>
  <c r="AT45" i="5"/>
  <c r="AO45" i="5"/>
  <c r="AP45" i="5" s="1"/>
  <c r="AK45" i="5"/>
  <c r="AR45" i="5" s="1"/>
  <c r="AT44" i="5"/>
  <c r="AO44" i="5"/>
  <c r="AP44" i="5" s="1"/>
  <c r="AK44" i="5"/>
  <c r="AR44" i="5" s="1"/>
  <c r="AT43" i="5"/>
  <c r="AO43" i="5"/>
  <c r="AP43" i="5" s="1"/>
  <c r="AK43" i="5"/>
  <c r="AR43" i="5" s="1"/>
  <c r="AO42" i="5"/>
  <c r="AP42" i="5" s="1"/>
  <c r="AK42" i="5"/>
  <c r="AR42" i="5" s="1"/>
  <c r="AO41" i="5"/>
  <c r="AP41" i="5" s="1"/>
  <c r="AK41" i="5"/>
  <c r="AR41" i="5" s="1"/>
  <c r="AT40" i="5"/>
  <c r="AO40" i="5"/>
  <c r="AP40" i="5" s="1"/>
  <c r="AK40" i="5"/>
  <c r="AR40" i="5" s="1"/>
  <c r="AP39" i="5"/>
  <c r="AO39" i="5"/>
  <c r="AK39" i="5"/>
  <c r="AR39" i="5" s="1"/>
  <c r="AT38" i="5"/>
  <c r="AO38" i="5"/>
  <c r="AP38" i="5" s="1"/>
  <c r="AK38" i="5"/>
  <c r="AO37" i="5"/>
  <c r="AP37" i="5" s="1"/>
  <c r="AK37" i="5"/>
  <c r="AQ37" i="5" s="1"/>
  <c r="AO36" i="5"/>
  <c r="AP36" i="5" s="1"/>
  <c r="AK36" i="5"/>
  <c r="AQ36" i="5" s="1"/>
  <c r="AQ35" i="5"/>
  <c r="AO35" i="5"/>
  <c r="AP35" i="5" s="1"/>
  <c r="AK35" i="5"/>
  <c r="AQ34" i="5"/>
  <c r="AO34" i="5"/>
  <c r="AP34" i="5" s="1"/>
  <c r="AK34" i="5"/>
  <c r="AO31" i="5"/>
  <c r="AP31" i="5" s="1"/>
  <c r="AK31" i="5"/>
  <c r="AQ31" i="5" s="1"/>
  <c r="AO30" i="5"/>
  <c r="AP30" i="5" s="1"/>
  <c r="AK30" i="5"/>
  <c r="AQ30" i="5" s="1"/>
  <c r="AQ29" i="5"/>
  <c r="AO29" i="5"/>
  <c r="AP29" i="5" s="1"/>
  <c r="AK29" i="5"/>
  <c r="AQ28" i="5"/>
  <c r="AO28" i="5"/>
  <c r="AP28" i="5" s="1"/>
  <c r="AK28" i="5"/>
  <c r="AO27" i="5"/>
  <c r="AP27" i="5" s="1"/>
  <c r="AK27" i="5"/>
  <c r="AQ27" i="5" s="1"/>
  <c r="AO25" i="5"/>
  <c r="AP25" i="5" s="1"/>
  <c r="AK25" i="5"/>
  <c r="AT25" i="5" s="1"/>
  <c r="AQ24" i="5"/>
  <c r="AO24" i="5"/>
  <c r="AP24" i="5" s="1"/>
  <c r="AK24" i="5"/>
  <c r="AQ22" i="5"/>
  <c r="AO22" i="5"/>
  <c r="AP22" i="5" s="1"/>
  <c r="AK22" i="5"/>
  <c r="AT22" i="5" s="1"/>
  <c r="AO21" i="5"/>
  <c r="AP21" i="5" s="1"/>
  <c r="AK21" i="5"/>
  <c r="AQ21" i="5" s="1"/>
  <c r="AO20" i="5"/>
  <c r="AP20" i="5" s="1"/>
  <c r="AK20" i="5"/>
  <c r="AQ20" i="5" s="1"/>
  <c r="AQ19" i="5"/>
  <c r="AO19" i="5"/>
  <c r="AP19" i="5" s="1"/>
  <c r="AK19" i="5"/>
  <c r="AQ16" i="5"/>
  <c r="AO16" i="5"/>
  <c r="AP16" i="5" s="1"/>
  <c r="AK16" i="5"/>
  <c r="AT16" i="5" s="1"/>
  <c r="AO7" i="5"/>
  <c r="AP7" i="5" s="1"/>
  <c r="AK7" i="5"/>
  <c r="AQ7" i="5" s="1"/>
  <c r="AT42" i="5" l="1"/>
  <c r="AT48" i="5"/>
  <c r="AT53" i="5"/>
  <c r="AQ25" i="5"/>
  <c r="AT41" i="5"/>
  <c r="AT46" i="5"/>
  <c r="AT47" i="5"/>
  <c r="AT52" i="5"/>
  <c r="AT39" i="5"/>
  <c r="AR20" i="5"/>
  <c r="AU20" i="5" s="1"/>
  <c r="AL20" i="5"/>
  <c r="AT20" i="5"/>
  <c r="AR28" i="5"/>
  <c r="AL28" i="5"/>
  <c r="AR30" i="5"/>
  <c r="AU30" i="5" s="1"/>
  <c r="AL30" i="5"/>
  <c r="AR34" i="5"/>
  <c r="AU34" i="5" s="1"/>
  <c r="AL34" i="5"/>
  <c r="AR36" i="5"/>
  <c r="AL36" i="5"/>
  <c r="AR7" i="5"/>
  <c r="AL7" i="5"/>
  <c r="AT7" i="5"/>
  <c r="AR19" i="5"/>
  <c r="AL19" i="5"/>
  <c r="AT19" i="5"/>
  <c r="AR21" i="5"/>
  <c r="AL21" i="5"/>
  <c r="AT21" i="5"/>
  <c r="AR24" i="5"/>
  <c r="AL24" i="5"/>
  <c r="AT24" i="5"/>
  <c r="AR27" i="5"/>
  <c r="AL27" i="5"/>
  <c r="AT27" i="5"/>
  <c r="AR29" i="5"/>
  <c r="AL29" i="5"/>
  <c r="AT29" i="5"/>
  <c r="AR31" i="5"/>
  <c r="AL31" i="5"/>
  <c r="AT31" i="5"/>
  <c r="AR35" i="5"/>
  <c r="AL35" i="5"/>
  <c r="AT35" i="5"/>
  <c r="AR37" i="5"/>
  <c r="AL37" i="5"/>
  <c r="AT37" i="5"/>
  <c r="AR16" i="5"/>
  <c r="AU16" i="5" s="1"/>
  <c r="AL16" i="5"/>
  <c r="AR22" i="5"/>
  <c r="AU22" i="5" s="1"/>
  <c r="AL22" i="5"/>
  <c r="AR25" i="5"/>
  <c r="AL25" i="5"/>
  <c r="AT28" i="5"/>
  <c r="AT30" i="5"/>
  <c r="AT34" i="5"/>
  <c r="AT36" i="5"/>
  <c r="AR38" i="5"/>
  <c r="AL38" i="5"/>
  <c r="AQ38" i="5"/>
  <c r="AQ39" i="5"/>
  <c r="AU39" i="5" s="1"/>
  <c r="AQ40" i="5"/>
  <c r="AU40" i="5" s="1"/>
  <c r="AQ41" i="5"/>
  <c r="AU41" i="5" s="1"/>
  <c r="AQ42" i="5"/>
  <c r="AU42" i="5" s="1"/>
  <c r="AQ43" i="5"/>
  <c r="AU43" i="5" s="1"/>
  <c r="AQ44" i="5"/>
  <c r="AU44" i="5" s="1"/>
  <c r="AQ45" i="5"/>
  <c r="AU45" i="5" s="1"/>
  <c r="AQ46" i="5"/>
  <c r="AQ47" i="5"/>
  <c r="AQ48" i="5"/>
  <c r="AU48" i="5" s="1"/>
  <c r="AQ49" i="5"/>
  <c r="AU49" i="5" s="1"/>
  <c r="AQ50" i="5"/>
  <c r="AU50" i="5" s="1"/>
  <c r="AQ51" i="5"/>
  <c r="AU51" i="5" s="1"/>
  <c r="AQ52" i="5"/>
  <c r="AQ53" i="5"/>
  <c r="AU53" i="5" s="1"/>
  <c r="AQ54" i="5"/>
  <c r="AU54" i="5" s="1"/>
  <c r="AL39" i="5"/>
  <c r="AL40" i="5"/>
  <c r="AL41" i="5"/>
  <c r="AL42" i="5"/>
  <c r="AL43" i="5"/>
  <c r="AL44" i="5"/>
  <c r="AL45" i="5"/>
  <c r="AL46" i="5"/>
  <c r="AL47" i="5"/>
  <c r="AL48" i="5"/>
  <c r="AL49" i="5"/>
  <c r="AL50" i="5"/>
  <c r="AL51" i="5"/>
  <c r="AL52" i="5"/>
  <c r="AL53" i="5"/>
  <c r="AL54" i="5"/>
  <c r="AO33" i="5"/>
  <c r="AP33" i="5" s="1"/>
  <c r="AK33" i="5"/>
  <c r="AO32" i="5"/>
  <c r="AP32" i="5" s="1"/>
  <c r="AK32" i="5"/>
  <c r="AR32" i="5" s="1"/>
  <c r="AT26" i="5"/>
  <c r="AO26" i="5"/>
  <c r="AP26" i="5" s="1"/>
  <c r="AK26" i="5"/>
  <c r="AR26" i="5" s="1"/>
  <c r="AO23" i="5"/>
  <c r="AP23" i="5" s="1"/>
  <c r="AK23" i="5"/>
  <c r="AO18" i="5"/>
  <c r="AP18" i="5" s="1"/>
  <c r="AK18" i="5"/>
  <c r="AT18" i="5" s="1"/>
  <c r="AO17" i="5"/>
  <c r="AP17" i="5" s="1"/>
  <c r="AK17" i="5"/>
  <c r="AT17" i="5" s="1"/>
  <c r="AO15" i="5"/>
  <c r="AP15" i="5" s="1"/>
  <c r="AK15" i="5"/>
  <c r="AO14" i="5"/>
  <c r="AP14" i="5" s="1"/>
  <c r="AK14" i="5"/>
  <c r="AT14" i="5" s="1"/>
  <c r="AO13" i="5"/>
  <c r="AP13" i="5" s="1"/>
  <c r="AK13" i="5"/>
  <c r="AT13" i="5" s="1"/>
  <c r="AO12" i="5"/>
  <c r="AP12" i="5" s="1"/>
  <c r="AK12" i="5"/>
  <c r="AT12" i="5" s="1"/>
  <c r="AQ11" i="5"/>
  <c r="AO11" i="5"/>
  <c r="AP11" i="5" s="1"/>
  <c r="AK11" i="5"/>
  <c r="AT11" i="5" s="1"/>
  <c r="AQ10" i="5"/>
  <c r="AO10" i="5"/>
  <c r="AP10" i="5" s="1"/>
  <c r="AK10" i="5"/>
  <c r="AT10" i="5" s="1"/>
  <c r="AO9" i="5"/>
  <c r="AP9" i="5" s="1"/>
  <c r="AK9" i="5"/>
  <c r="AT9" i="5" s="1"/>
  <c r="AO8" i="5"/>
  <c r="AP8" i="5" s="1"/>
  <c r="AK8" i="5"/>
  <c r="AT8" i="5" s="1"/>
  <c r="AO6" i="5"/>
  <c r="AP6" i="5" s="1"/>
  <c r="AK6" i="5"/>
  <c r="AO5" i="5"/>
  <c r="AP5" i="5" s="1"/>
  <c r="AK5" i="5"/>
  <c r="AT5" i="5" s="1"/>
  <c r="AO4" i="5"/>
  <c r="AP4" i="5" s="1"/>
  <c r="AK4" i="5"/>
  <c r="AO3" i="5"/>
  <c r="AP3" i="5" s="1"/>
  <c r="AK3" i="5"/>
  <c r="AT3" i="5" s="1"/>
  <c r="AQ2" i="5"/>
  <c r="AO2" i="5"/>
  <c r="AP2" i="5" s="1"/>
  <c r="AK2" i="5"/>
  <c r="AT2" i="5" s="1"/>
  <c r="AO1" i="5"/>
  <c r="AP1" i="5" s="1"/>
  <c r="AK1" i="5"/>
  <c r="A67" i="10"/>
  <c r="B67" i="10"/>
  <c r="C67" i="10"/>
  <c r="D67" i="10"/>
  <c r="E67" i="10"/>
  <c r="F67" i="10"/>
  <c r="G67" i="10"/>
  <c r="I67" i="10"/>
  <c r="A68" i="10"/>
  <c r="B68" i="10"/>
  <c r="C68" i="10"/>
  <c r="D68" i="10"/>
  <c r="E68" i="10"/>
  <c r="F68" i="10"/>
  <c r="G68" i="10"/>
  <c r="I68" i="10"/>
  <c r="AT15" i="5" l="1"/>
  <c r="AQ15" i="5"/>
  <c r="AR33" i="5"/>
  <c r="AT4" i="5"/>
  <c r="AT6" i="5"/>
  <c r="AU6" i="5" s="1"/>
  <c r="AQ6" i="5"/>
  <c r="AR23" i="5"/>
  <c r="AT23" i="5"/>
  <c r="AT1" i="5"/>
  <c r="AU52" i="5"/>
  <c r="AU47" i="5"/>
  <c r="AU36" i="5"/>
  <c r="AU37" i="5"/>
  <c r="AU27" i="5"/>
  <c r="AU7" i="5"/>
  <c r="AU28" i="5"/>
  <c r="AQ3" i="5"/>
  <c r="AQ14" i="5"/>
  <c r="AU46" i="5"/>
  <c r="AU38" i="5"/>
  <c r="AU25" i="5"/>
  <c r="AU29" i="5"/>
  <c r="AU19" i="5"/>
  <c r="AU31" i="5"/>
  <c r="AU21" i="5"/>
  <c r="AU35" i="5"/>
  <c r="AU24" i="5"/>
  <c r="AQ1" i="5"/>
  <c r="AQ5" i="5"/>
  <c r="AQ9" i="5"/>
  <c r="AQ13" i="5"/>
  <c r="AQ17" i="5"/>
  <c r="AU17" i="5" s="1"/>
  <c r="AT33" i="5"/>
  <c r="AQ4" i="5"/>
  <c r="AQ8" i="5"/>
  <c r="AQ12" i="5"/>
  <c r="AT32" i="5"/>
  <c r="AR1" i="5"/>
  <c r="AL1" i="5"/>
  <c r="AR2" i="5"/>
  <c r="AU2" i="5" s="1"/>
  <c r="AL2" i="5"/>
  <c r="AR3" i="5"/>
  <c r="AL3" i="5"/>
  <c r="AR4" i="5"/>
  <c r="AL4" i="5"/>
  <c r="AR5" i="5"/>
  <c r="AU5" i="5" s="1"/>
  <c r="AL5" i="5"/>
  <c r="AR6" i="5"/>
  <c r="AL6" i="5"/>
  <c r="AR8" i="5"/>
  <c r="AU8" i="5" s="1"/>
  <c r="AL8" i="5"/>
  <c r="AR9" i="5"/>
  <c r="AL9" i="5"/>
  <c r="AR10" i="5"/>
  <c r="AU10" i="5" s="1"/>
  <c r="AL10" i="5"/>
  <c r="AR11" i="5"/>
  <c r="AL11" i="5"/>
  <c r="AR12" i="5"/>
  <c r="AL12" i="5"/>
  <c r="AR13" i="5"/>
  <c r="AL13" i="5"/>
  <c r="AR14" i="5"/>
  <c r="AU14" i="5" s="1"/>
  <c r="AL14" i="5"/>
  <c r="AR15" i="5"/>
  <c r="AL15" i="5"/>
  <c r="AR17" i="5"/>
  <c r="AL17" i="5"/>
  <c r="AR18" i="5"/>
  <c r="AL18" i="5"/>
  <c r="AQ18" i="5"/>
  <c r="AU3" i="5"/>
  <c r="AU9" i="5"/>
  <c r="AU11" i="5"/>
  <c r="AU15" i="5"/>
  <c r="AQ23" i="5"/>
  <c r="AQ26" i="5"/>
  <c r="AU26" i="5" s="1"/>
  <c r="AQ32" i="5"/>
  <c r="AU32" i="5" s="1"/>
  <c r="AQ33" i="5"/>
  <c r="AU33" i="5" s="1"/>
  <c r="AL23" i="5"/>
  <c r="AL26" i="5"/>
  <c r="AL32" i="5"/>
  <c r="AL33" i="5"/>
  <c r="J68" i="10"/>
  <c r="J67" i="10"/>
  <c r="AO8" i="1"/>
  <c r="AP8" i="1" s="1"/>
  <c r="AO9" i="1"/>
  <c r="AP9" i="1" s="1"/>
  <c r="AO10" i="1"/>
  <c r="AP10" i="1" s="1"/>
  <c r="AO11" i="1"/>
  <c r="AP11" i="1" s="1"/>
  <c r="AO12" i="1"/>
  <c r="AP12" i="1" s="1"/>
  <c r="AO13" i="1"/>
  <c r="AP13" i="1" s="1"/>
  <c r="AO14" i="1"/>
  <c r="AP14" i="1" s="1"/>
  <c r="AO15" i="1"/>
  <c r="AP15" i="1" s="1"/>
  <c r="AO16" i="1"/>
  <c r="AP16" i="1" s="1"/>
  <c r="AO17" i="1"/>
  <c r="AP17" i="1" s="1"/>
  <c r="AO18" i="1"/>
  <c r="AP18" i="1" s="1"/>
  <c r="AO19" i="1"/>
  <c r="AP19" i="1" s="1"/>
  <c r="AO20" i="1"/>
  <c r="AP20" i="1" s="1"/>
  <c r="AO21" i="1"/>
  <c r="AP21" i="1" s="1"/>
  <c r="AO22" i="1"/>
  <c r="AP22" i="1" s="1"/>
  <c r="AO23" i="1"/>
  <c r="AP23" i="1" s="1"/>
  <c r="AO24" i="1"/>
  <c r="AP24" i="1" s="1"/>
  <c r="AO25" i="1"/>
  <c r="AP25" i="1" s="1"/>
  <c r="AO26" i="1"/>
  <c r="AP26" i="1" s="1"/>
  <c r="AO27" i="1"/>
  <c r="AP27" i="1" s="1"/>
  <c r="AO28" i="1"/>
  <c r="AP28" i="1" s="1"/>
  <c r="AO29" i="1"/>
  <c r="AP29" i="1" s="1"/>
  <c r="AO30" i="1"/>
  <c r="AP30" i="1" s="1"/>
  <c r="AO31" i="1"/>
  <c r="AP31" i="1" s="1"/>
  <c r="AO32" i="1"/>
  <c r="AP32" i="1" s="1"/>
  <c r="AO33" i="1"/>
  <c r="AP33" i="1" s="1"/>
  <c r="AO34" i="1"/>
  <c r="AP34" i="1" s="1"/>
  <c r="AO35" i="1"/>
  <c r="AP35" i="1" s="1"/>
  <c r="AO36" i="1"/>
  <c r="AP36" i="1" s="1"/>
  <c r="AO37" i="1"/>
  <c r="AP37" i="1" s="1"/>
  <c r="AO38" i="1"/>
  <c r="AP38" i="1" s="1"/>
  <c r="AO39" i="1"/>
  <c r="AP39" i="1" s="1"/>
  <c r="AO40" i="1"/>
  <c r="AP40" i="1" s="1"/>
  <c r="AO41" i="1"/>
  <c r="AP41" i="1" s="1"/>
  <c r="AO42" i="1"/>
  <c r="AP42" i="1" s="1"/>
  <c r="AO43" i="1"/>
  <c r="AP43" i="1" s="1"/>
  <c r="AO44" i="1"/>
  <c r="AP44" i="1" s="1"/>
  <c r="AO45" i="1"/>
  <c r="AP45" i="1" s="1"/>
  <c r="AO46" i="1"/>
  <c r="AP46" i="1" s="1"/>
  <c r="AO47" i="1"/>
  <c r="AP47" i="1" s="1"/>
  <c r="AO48" i="1"/>
  <c r="AP48" i="1" s="1"/>
  <c r="AO49" i="1"/>
  <c r="AP49" i="1" s="1"/>
  <c r="AO50" i="1"/>
  <c r="AP50" i="1" s="1"/>
  <c r="AO51" i="1"/>
  <c r="AP51" i="1" s="1"/>
  <c r="AO52" i="1"/>
  <c r="AP52" i="1" s="1"/>
  <c r="AO53" i="1"/>
  <c r="AP53" i="1" s="1"/>
  <c r="AO54" i="1"/>
  <c r="AP54" i="1" s="1"/>
  <c r="AO55" i="1"/>
  <c r="AP55" i="1" s="1"/>
  <c r="AO56" i="1"/>
  <c r="AP56" i="1" s="1"/>
  <c r="AO57" i="1"/>
  <c r="AP57" i="1" s="1"/>
  <c r="AO58" i="1"/>
  <c r="AP58" i="1" s="1"/>
  <c r="AU1" i="5" l="1"/>
  <c r="AU23" i="5"/>
  <c r="AU4" i="5"/>
  <c r="AU12" i="5"/>
  <c r="AU18" i="5"/>
  <c r="AU13" i="5"/>
  <c r="AK7" i="1"/>
  <c r="AT7" i="1" s="1"/>
  <c r="AO7" i="1"/>
  <c r="AP7" i="1" s="1"/>
  <c r="AK8" i="1"/>
  <c r="AT8" i="1" s="1"/>
  <c r="AK9" i="1"/>
  <c r="AT9" i="1" s="1"/>
  <c r="AK10" i="1"/>
  <c r="AK11" i="1"/>
  <c r="AT11" i="1" s="1"/>
  <c r="AK12" i="1"/>
  <c r="AK13" i="1"/>
  <c r="AT13" i="1"/>
  <c r="AK14" i="1"/>
  <c r="AK15" i="1"/>
  <c r="AT15" i="1" s="1"/>
  <c r="AK16" i="1"/>
  <c r="AT16" i="1"/>
  <c r="AK17" i="1"/>
  <c r="AT17" i="1" s="1"/>
  <c r="AK18" i="1"/>
  <c r="AK19" i="1"/>
  <c r="AK20" i="1"/>
  <c r="AT20" i="1" s="1"/>
  <c r="AK21" i="1"/>
  <c r="AK22" i="1"/>
  <c r="AK23" i="1"/>
  <c r="AT23" i="1" s="1"/>
  <c r="AK24" i="1"/>
  <c r="AT24" i="1" s="1"/>
  <c r="AK25" i="1"/>
  <c r="AT25" i="1"/>
  <c r="AK26" i="1"/>
  <c r="AK27" i="1"/>
  <c r="AT27" i="1"/>
  <c r="AK28" i="1"/>
  <c r="AK29" i="1"/>
  <c r="AT29" i="1" s="1"/>
  <c r="AK30" i="1"/>
  <c r="AK31" i="1"/>
  <c r="AT31" i="1" s="1"/>
  <c r="AK32" i="1"/>
  <c r="AT32" i="1" s="1"/>
  <c r="AK33" i="1"/>
  <c r="AT33" i="1" s="1"/>
  <c r="AK34" i="1"/>
  <c r="AK35" i="1"/>
  <c r="AK36" i="1"/>
  <c r="AT36" i="1"/>
  <c r="AK37" i="1"/>
  <c r="AK38" i="1"/>
  <c r="AK39" i="1"/>
  <c r="AT39" i="1"/>
  <c r="AK40" i="1"/>
  <c r="AT40" i="1" s="1"/>
  <c r="AK41" i="1"/>
  <c r="AT41" i="1" s="1"/>
  <c r="AK42" i="1"/>
  <c r="AK43" i="1"/>
  <c r="AT43" i="1" s="1"/>
  <c r="AK44" i="1"/>
  <c r="AK45" i="1"/>
  <c r="AT45" i="1"/>
  <c r="AK46" i="1"/>
  <c r="AK47" i="1"/>
  <c r="AT47" i="1" s="1"/>
  <c r="AK48" i="1"/>
  <c r="AT48" i="1"/>
  <c r="AK49" i="1"/>
  <c r="AK50" i="1"/>
  <c r="AK51" i="1"/>
  <c r="AL51" i="1"/>
  <c r="AK52" i="1"/>
  <c r="AL52" i="1" s="1"/>
  <c r="AK53" i="1"/>
  <c r="AL53" i="1" s="1"/>
  <c r="AK54" i="1"/>
  <c r="AK55" i="1"/>
  <c r="AL55" i="1" s="1"/>
  <c r="AK56" i="1"/>
  <c r="AK57" i="1"/>
  <c r="AL57" i="1"/>
  <c r="AK58" i="1"/>
  <c r="AQ7" i="1" l="1"/>
  <c r="AT56" i="1"/>
  <c r="AQ56" i="1"/>
  <c r="AR56" i="1"/>
  <c r="AR46" i="1"/>
  <c r="AQ46" i="1"/>
  <c r="AQ44" i="1"/>
  <c r="AR44" i="1"/>
  <c r="AR30" i="1"/>
  <c r="AQ30" i="1"/>
  <c r="AQ28" i="1"/>
  <c r="AR28" i="1"/>
  <c r="AQ21" i="1"/>
  <c r="AR21" i="1"/>
  <c r="AQ19" i="1"/>
  <c r="AR19" i="1"/>
  <c r="AR14" i="1"/>
  <c r="AQ14" i="1"/>
  <c r="AT51" i="1"/>
  <c r="AQ51" i="1"/>
  <c r="AR51" i="1"/>
  <c r="AR48" i="1"/>
  <c r="AQ48" i="1"/>
  <c r="AQ41" i="1"/>
  <c r="AR41" i="1"/>
  <c r="AQ39" i="1"/>
  <c r="AR39" i="1"/>
  <c r="AQ25" i="1"/>
  <c r="AR25" i="1"/>
  <c r="AQ23" i="1"/>
  <c r="AR23" i="1"/>
  <c r="AR18" i="1"/>
  <c r="AQ18" i="1"/>
  <c r="AR16" i="1"/>
  <c r="AQ16" i="1"/>
  <c r="AQ9" i="1"/>
  <c r="AR9" i="1"/>
  <c r="AT58" i="1"/>
  <c r="AR58" i="1"/>
  <c r="AQ58" i="1"/>
  <c r="AT52" i="1"/>
  <c r="AR52" i="1"/>
  <c r="AQ52" i="1"/>
  <c r="AT50" i="1"/>
  <c r="AR50" i="1"/>
  <c r="AU50" i="1" s="1"/>
  <c r="AQ50" i="1"/>
  <c r="AQ45" i="1"/>
  <c r="AR45" i="1"/>
  <c r="AR43" i="1"/>
  <c r="AQ43" i="1"/>
  <c r="AR38" i="1"/>
  <c r="AQ38" i="1"/>
  <c r="AR36" i="1"/>
  <c r="AQ36" i="1"/>
  <c r="AQ29" i="1"/>
  <c r="AR29" i="1"/>
  <c r="AU29" i="1" s="1"/>
  <c r="AQ27" i="1"/>
  <c r="AR27" i="1"/>
  <c r="AR22" i="1"/>
  <c r="AQ22" i="1"/>
  <c r="AQ20" i="1"/>
  <c r="AR20" i="1"/>
  <c r="AQ13" i="1"/>
  <c r="AR13" i="1"/>
  <c r="AR11" i="1"/>
  <c r="AQ11" i="1"/>
  <c r="AT54" i="1"/>
  <c r="AR54" i="1"/>
  <c r="AQ54" i="1"/>
  <c r="AU54" i="1" s="1"/>
  <c r="AQ37" i="1"/>
  <c r="AR37" i="1"/>
  <c r="AQ35" i="1"/>
  <c r="AR35" i="1"/>
  <c r="AQ12" i="1"/>
  <c r="AR12" i="1"/>
  <c r="AT57" i="1"/>
  <c r="AQ57" i="1"/>
  <c r="AU57" i="1" s="1"/>
  <c r="AR57" i="1"/>
  <c r="AR34" i="1"/>
  <c r="AQ34" i="1"/>
  <c r="AR32" i="1"/>
  <c r="AQ32" i="1"/>
  <c r="AL56" i="1"/>
  <c r="AT55" i="1"/>
  <c r="AR55" i="1"/>
  <c r="AQ55" i="1"/>
  <c r="AT53" i="1"/>
  <c r="AQ53" i="1"/>
  <c r="AR53" i="1"/>
  <c r="AQ49" i="1"/>
  <c r="AR49" i="1"/>
  <c r="AQ47" i="1"/>
  <c r="AR47" i="1"/>
  <c r="AU47" i="1" s="1"/>
  <c r="AT44" i="1"/>
  <c r="AR42" i="1"/>
  <c r="AQ42" i="1"/>
  <c r="AQ40" i="1"/>
  <c r="AR40" i="1"/>
  <c r="AT37" i="1"/>
  <c r="AT35" i="1"/>
  <c r="AQ33" i="1"/>
  <c r="AU33" i="1" s="1"/>
  <c r="AR33" i="1"/>
  <c r="AQ31" i="1"/>
  <c r="AR31" i="1"/>
  <c r="AT28" i="1"/>
  <c r="AR26" i="1"/>
  <c r="AQ26" i="1"/>
  <c r="AR24" i="1"/>
  <c r="AQ24" i="1"/>
  <c r="AT21" i="1"/>
  <c r="AT19" i="1"/>
  <c r="AQ17" i="1"/>
  <c r="AR17" i="1"/>
  <c r="AQ15" i="1"/>
  <c r="AR15" i="1"/>
  <c r="AT12" i="1"/>
  <c r="AR10" i="1"/>
  <c r="AU10" i="1" s="1"/>
  <c r="AQ10" i="1"/>
  <c r="AQ8" i="1"/>
  <c r="AR8" i="1"/>
  <c r="AL47" i="1"/>
  <c r="AL43" i="1"/>
  <c r="AL39" i="1"/>
  <c r="AL35" i="1"/>
  <c r="AL31" i="1"/>
  <c r="AL27" i="1"/>
  <c r="AL23" i="1"/>
  <c r="AL19" i="1"/>
  <c r="AL15" i="1"/>
  <c r="AL11" i="1"/>
  <c r="AL46" i="1"/>
  <c r="AL42" i="1"/>
  <c r="AU42" i="1"/>
  <c r="AU39" i="1"/>
  <c r="AL38" i="1"/>
  <c r="AL34" i="1"/>
  <c r="AU31" i="1"/>
  <c r="AL30" i="1"/>
  <c r="AL26" i="1"/>
  <c r="AU26" i="1"/>
  <c r="AU23" i="1"/>
  <c r="AL22" i="1"/>
  <c r="AL18" i="1"/>
  <c r="AU15" i="1"/>
  <c r="AL14" i="1"/>
  <c r="AL10" i="1"/>
  <c r="AL49" i="1"/>
  <c r="AT49" i="1"/>
  <c r="AU49" i="1" s="1"/>
  <c r="AT46" i="1"/>
  <c r="AL45" i="1"/>
  <c r="AT42" i="1"/>
  <c r="AL41" i="1"/>
  <c r="AT38" i="1"/>
  <c r="AL37" i="1"/>
  <c r="AT34" i="1"/>
  <c r="AL33" i="1"/>
  <c r="AT30" i="1"/>
  <c r="AL29" i="1"/>
  <c r="AT26" i="1"/>
  <c r="AL25" i="1"/>
  <c r="AT22" i="1"/>
  <c r="AU22" i="1" s="1"/>
  <c r="AL21" i="1"/>
  <c r="AT18" i="1"/>
  <c r="AL17" i="1"/>
  <c r="AT14" i="1"/>
  <c r="AL13" i="1"/>
  <c r="AT10" i="1"/>
  <c r="AL9" i="1"/>
  <c r="AU58" i="1"/>
  <c r="AL58" i="1"/>
  <c r="AL54" i="1"/>
  <c r="AL50" i="1"/>
  <c r="AL48" i="1"/>
  <c r="AU45" i="1"/>
  <c r="AL44" i="1"/>
  <c r="AL40" i="1"/>
  <c r="AL36" i="1"/>
  <c r="AL32" i="1"/>
  <c r="AL28" i="1"/>
  <c r="AL24" i="1"/>
  <c r="AL20" i="1"/>
  <c r="AL16" i="1"/>
  <c r="AU13" i="1"/>
  <c r="AL12" i="1"/>
  <c r="AL8" i="1"/>
  <c r="AL7" i="1"/>
  <c r="AR7" i="1"/>
  <c r="AU7" i="1" s="1"/>
  <c r="AU14" i="1" l="1"/>
  <c r="AU46" i="1"/>
  <c r="AU17" i="1"/>
  <c r="AU38" i="1"/>
  <c r="AU30" i="1"/>
  <c r="AU53" i="1"/>
  <c r="AU52" i="1"/>
  <c r="AU56" i="1"/>
  <c r="AU51" i="1"/>
  <c r="AU55" i="1"/>
  <c r="AU18" i="1"/>
  <c r="AU9" i="1"/>
  <c r="AU21" i="1"/>
  <c r="AU25" i="1"/>
  <c r="AU37" i="1"/>
  <c r="AU41" i="1"/>
  <c r="AU34" i="1"/>
  <c r="AU8" i="1"/>
  <c r="AU12" i="1"/>
  <c r="AU16" i="1"/>
  <c r="AU20" i="1"/>
  <c r="AU24" i="1"/>
  <c r="AU28" i="1"/>
  <c r="AU32" i="1"/>
  <c r="AU36" i="1"/>
  <c r="AU40" i="1"/>
  <c r="AU44" i="1"/>
  <c r="AU48" i="1"/>
  <c r="AU11" i="1"/>
  <c r="AU19" i="1"/>
  <c r="AU27" i="1"/>
  <c r="AU35" i="1"/>
  <c r="AU43" i="1"/>
</calcChain>
</file>

<file path=xl/sharedStrings.xml><?xml version="1.0" encoding="utf-8"?>
<sst xmlns="http://schemas.openxmlformats.org/spreadsheetml/2006/main" count="2349" uniqueCount="181">
  <si>
    <t>FID</t>
  </si>
  <si>
    <t>Stream Name</t>
  </si>
  <si>
    <t>Street Name</t>
  </si>
  <si>
    <t>OPENING</t>
  </si>
  <si>
    <t>surveyor</t>
  </si>
  <si>
    <t>Date</t>
  </si>
  <si>
    <t>utmx</t>
  </si>
  <si>
    <t>utmy</t>
  </si>
  <si>
    <t>crossing_Type</t>
  </si>
  <si>
    <t>Number of culverts</t>
  </si>
  <si>
    <t>outlet_drop</t>
  </si>
  <si>
    <t>total_span</t>
  </si>
  <si>
    <t>crossing_properly_aligned</t>
  </si>
  <si>
    <t>opening_type</t>
  </si>
  <si>
    <t>opening_shape</t>
  </si>
  <si>
    <t>opening_material</t>
  </si>
  <si>
    <t>length</t>
  </si>
  <si>
    <t>width</t>
  </si>
  <si>
    <t>Height</t>
  </si>
  <si>
    <t>water_depth</t>
  </si>
  <si>
    <t>substrate</t>
  </si>
  <si>
    <t>%_plugged</t>
  </si>
  <si>
    <t>bankfull_width</t>
  </si>
  <si>
    <t>bankfull_confidence</t>
  </si>
  <si>
    <t>scour_pool</t>
  </si>
  <si>
    <t>upstream_pool</t>
  </si>
  <si>
    <t>upstream_deposition</t>
  </si>
  <si>
    <t>bank_erosion</t>
  </si>
  <si>
    <t>fish_barrier</t>
  </si>
  <si>
    <t>stream_stability</t>
  </si>
  <si>
    <t>priority</t>
  </si>
  <si>
    <t>recommended corrective actions</t>
  </si>
  <si>
    <t>Comments</t>
  </si>
  <si>
    <t>Drainage Area</t>
  </si>
  <si>
    <t>Regional Curve BKF W</t>
  </si>
  <si>
    <t>width ratio regional curve</t>
  </si>
  <si>
    <t>substrate, width, perch</t>
  </si>
  <si>
    <t>wide bridge</t>
  </si>
  <si>
    <t>Stream Condition Upstream</t>
  </si>
  <si>
    <t>Excellent</t>
  </si>
  <si>
    <t>Good</t>
  </si>
  <si>
    <t>Fair</t>
  </si>
  <si>
    <t>Poor</t>
  </si>
  <si>
    <t>sediment is the only issue and it was not called a barrier</t>
  </si>
  <si>
    <t>Parameter</t>
  </si>
  <si>
    <t>Explanation</t>
  </si>
  <si>
    <t>Weight</t>
  </si>
  <si>
    <t>Multiple openings</t>
  </si>
  <si>
    <t>an open span is better than 2 openings even if it is equal to BKF (only include thalweg openings not FP)</t>
  </si>
  <si>
    <t>Yes</t>
  </si>
  <si>
    <t>No</t>
  </si>
  <si>
    <t>width to BKF width</t>
  </si>
  <si>
    <t>&lt;0.59 or &gt;1.76</t>
  </si>
  <si>
    <t>0.6-0.79 OR 1.51-1.75</t>
  </si>
  <si>
    <t>0.8-0.89 OR 1.1-1.5</t>
  </si>
  <si>
    <t>0.9-1.09</t>
  </si>
  <si>
    <t>upstream deposition</t>
  </si>
  <si>
    <t>Stream Stability Impact</t>
  </si>
  <si>
    <t>answered on the inventory sheet and matched to results for upstream and downstream pools</t>
  </si>
  <si>
    <t>bank erosion caused by the crossing</t>
  </si>
  <si>
    <t>Distance to upstream barrier</t>
  </si>
  <si>
    <t>number of stream miles including other branches until next manmade or natural barrier</t>
  </si>
  <si>
    <t>&gt;5000 Feet</t>
  </si>
  <si>
    <t>&lt;5000 Feet</t>
  </si>
  <si>
    <t>&lt;1000 Feet</t>
  </si>
  <si>
    <t>&lt;100 Feet</t>
  </si>
  <si>
    <t>Upstream water temperature</t>
  </si>
  <si>
    <t>% stress for trout</t>
  </si>
  <si>
    <t>&lt;8%</t>
  </si>
  <si>
    <t>&lt;15%</t>
  </si>
  <si>
    <t>&lt;25%</t>
  </si>
  <si>
    <t>&gt;25%</t>
  </si>
  <si>
    <t>Condition of the upstream channel</t>
  </si>
  <si>
    <t>based on stream walks</t>
  </si>
  <si>
    <t>Culvert</t>
  </si>
  <si>
    <t>Score</t>
  </si>
  <si>
    <t>Stream Mile (Location)</t>
  </si>
  <si>
    <t>Limiting Factor</t>
  </si>
  <si>
    <t>Stream Length Upstream (feet) (includes natural and manmade barriers)</t>
  </si>
  <si>
    <t>Width Ratio</t>
  </si>
  <si>
    <t>Multiple Openings</t>
  </si>
  <si>
    <t>Width to BKF Width</t>
  </si>
  <si>
    <t>Upstream Deposition</t>
  </si>
  <si>
    <t>Bank Erosion</t>
  </si>
  <si>
    <t>Distance to Upstream Barrier</t>
  </si>
  <si>
    <t>Upstream Water Temp</t>
  </si>
  <si>
    <t>Condition</t>
  </si>
  <si>
    <t>Total Score</t>
  </si>
  <si>
    <t>Paste data into the "data" tab.  Be sure all data is listed in the columns as listed.</t>
  </si>
  <si>
    <t>Too wide or narrow</t>
  </si>
  <si>
    <t>regional curve too narrow or wide</t>
  </si>
  <si>
    <t>Headings highlighted Blue will autofill.</t>
  </si>
  <si>
    <t>Culverts</t>
  </si>
  <si>
    <t>N</t>
  </si>
  <si>
    <t>Thalweg</t>
  </si>
  <si>
    <t>Open Bottom Arch</t>
  </si>
  <si>
    <t>Concrete</t>
  </si>
  <si>
    <t>Y</t>
  </si>
  <si>
    <t>High</t>
  </si>
  <si>
    <t>Velocity</t>
  </si>
  <si>
    <t>Low</t>
  </si>
  <si>
    <t>Span Bridge</t>
  </si>
  <si>
    <t>Bridge</t>
  </si>
  <si>
    <t>None</t>
  </si>
  <si>
    <t>Offset</t>
  </si>
  <si>
    <t>Medium</t>
  </si>
  <si>
    <t>Wood</t>
  </si>
  <si>
    <t>Box</t>
  </si>
  <si>
    <t>Velocity, Depth</t>
  </si>
  <si>
    <t>Depth</t>
  </si>
  <si>
    <t>Circular</t>
  </si>
  <si>
    <t>CMP</t>
  </si>
  <si>
    <t>Depth, Substrate</t>
  </si>
  <si>
    <t>Ellipse</t>
  </si>
  <si>
    <t>Outlet Drop, Depth, Substrate</t>
  </si>
  <si>
    <t>Outlet Drop, Velocity, Depth, Substrate</t>
  </si>
  <si>
    <t>Velocity, Depth, Substrate</t>
  </si>
  <si>
    <t>Substrate</t>
  </si>
  <si>
    <t>Ranked Priority something or other</t>
  </si>
  <si>
    <t>is the total span properly sized based on BKF  (GREATER THAN BKF)</t>
  </si>
  <si>
    <t>is the total span properly sized based on BKF (LESS THAN BKF)</t>
  </si>
  <si>
    <t>&gt;3</t>
  </si>
  <si>
    <t>On the "data" tab click the 'Find True' button.</t>
  </si>
  <si>
    <t>Now all data that passes Level 1 is listed in "AUTrue".</t>
  </si>
  <si>
    <t>A culvert is listed in "AUTrue", if it is either too wide(&gt;150%), too narrow (&lt;80%), has no sediment and is not a fish barrier, or is perched.</t>
  </si>
  <si>
    <t>Culverts listed in "AUTrue" are scored using the matrix in "Score Matrix"</t>
  </si>
  <si>
    <t>In "Ranked" tab hit the button to get a ranked list of culverts from worst to better.</t>
  </si>
  <si>
    <t>removed</t>
  </si>
  <si>
    <t>Street1</t>
  </si>
  <si>
    <t>Stream</t>
  </si>
  <si>
    <t>Street2</t>
  </si>
  <si>
    <t>Street3</t>
  </si>
  <si>
    <t>Street4</t>
  </si>
  <si>
    <t>Street5</t>
  </si>
  <si>
    <t>Street6</t>
  </si>
  <si>
    <t>Street7</t>
  </si>
  <si>
    <t>Street8</t>
  </si>
  <si>
    <t>Street9</t>
  </si>
  <si>
    <t>Street10</t>
  </si>
  <si>
    <t>Street11</t>
  </si>
  <si>
    <t>Street12</t>
  </si>
  <si>
    <t>Street13</t>
  </si>
  <si>
    <t>Street14</t>
  </si>
  <si>
    <t>Street15</t>
  </si>
  <si>
    <t>Street16</t>
  </si>
  <si>
    <t>Street17</t>
  </si>
  <si>
    <t>Street18</t>
  </si>
  <si>
    <t>Street19</t>
  </si>
  <si>
    <t>Street20</t>
  </si>
  <si>
    <t>Street21</t>
  </si>
  <si>
    <t>Street22</t>
  </si>
  <si>
    <t>Street23</t>
  </si>
  <si>
    <t>Street24</t>
  </si>
  <si>
    <t>Street25</t>
  </si>
  <si>
    <t>Street26</t>
  </si>
  <si>
    <t>Street27</t>
  </si>
  <si>
    <t>Street28</t>
  </si>
  <si>
    <t>Street29</t>
  </si>
  <si>
    <t>Street30</t>
  </si>
  <si>
    <t>Street31</t>
  </si>
  <si>
    <t>Street32</t>
  </si>
  <si>
    <t>Street33</t>
  </si>
  <si>
    <t>Street34</t>
  </si>
  <si>
    <t>Street35</t>
  </si>
  <si>
    <t>Street36</t>
  </si>
  <si>
    <t>Street37</t>
  </si>
  <si>
    <t>Street38</t>
  </si>
  <si>
    <t>Street39</t>
  </si>
  <si>
    <t>Street40</t>
  </si>
  <si>
    <t>Street41</t>
  </si>
  <si>
    <t>Street42</t>
  </si>
  <si>
    <t>Street43</t>
  </si>
  <si>
    <t>Street44</t>
  </si>
  <si>
    <t>Street45</t>
  </si>
  <si>
    <t>Street46</t>
  </si>
  <si>
    <t>Street47</t>
  </si>
  <si>
    <t>Street48</t>
  </si>
  <si>
    <t>Street49</t>
  </si>
  <si>
    <t>Street50</t>
  </si>
  <si>
    <t>Street51</t>
  </si>
  <si>
    <t>Street52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</si>
</sst>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5" borderId="0" applyNumberFormat="0" applyBorder="0" applyAlignment="0" applyProtection="0"/>
    <xf numFmtId="0" fontId="4" fillId="6" borderId="0" applyNumberFormat="0" applyBorder="0" applyAlignment="0" applyProtection="0"/>
  </cellStyleXfs>
  <cellXfs count="73">
    <xf numFmtId="0" fontId="0" fillId="0" borderId="0" xfId="0"/>
    <xf numFmtId="2" fontId="0" fillId="0" borderId="1" xfId="0" applyNumberFormat="1" applyBorder="1"/>
    <xf numFmtId="0" fontId="0" fillId="0" borderId="1" xfId="0" applyBorder="1"/>
    <xf numFmtId="0" fontId="0" fillId="2" borderId="1" xfId="0" applyFill="1" applyBorder="1"/>
    <xf numFmtId="9" fontId="0" fillId="0" borderId="1" xfId="0" applyNumberFormat="1" applyBorder="1"/>
    <xf numFmtId="0" fontId="0" fillId="3" borderId="1" xfId="0" applyFill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0" xfId="0" applyFill="1" applyBorder="1"/>
    <xf numFmtId="0" fontId="0" fillId="0" borderId="0" xfId="0" applyBorder="1" applyAlignment="1">
      <alignment wrapText="1"/>
    </xf>
    <xf numFmtId="0" fontId="0" fillId="0" borderId="0" xfId="0" applyBorder="1"/>
    <xf numFmtId="0" fontId="1" fillId="0" borderId="3" xfId="0" applyFont="1" applyBorder="1"/>
    <xf numFmtId="0" fontId="0" fillId="2" borderId="0" xfId="0" applyFill="1" applyBorder="1"/>
    <xf numFmtId="14" fontId="0" fillId="0" borderId="0" xfId="0" applyNumberFormat="1" applyBorder="1"/>
    <xf numFmtId="9" fontId="0" fillId="0" borderId="0" xfId="0" applyNumberFormat="1" applyBorder="1"/>
    <xf numFmtId="0" fontId="0" fillId="3" borderId="0" xfId="0" applyFill="1" applyBorder="1"/>
    <xf numFmtId="2" fontId="0" fillId="0" borderId="0" xfId="0" applyNumberFormat="1" applyBorder="1"/>
    <xf numFmtId="0" fontId="0" fillId="4" borderId="0" xfId="0" applyFill="1" applyBorder="1"/>
    <xf numFmtId="0" fontId="0" fillId="0" borderId="0" xfId="0" applyFont="1" applyBorder="1"/>
    <xf numFmtId="0" fontId="0" fillId="2" borderId="0" xfId="0" applyFont="1" applyFill="1" applyBorder="1"/>
    <xf numFmtId="0" fontId="0" fillId="3" borderId="0" xfId="0" applyFont="1" applyFill="1" applyBorder="1"/>
    <xf numFmtId="0" fontId="0" fillId="0" borderId="0" xfId="0" applyFont="1" applyFill="1" applyBorder="1"/>
    <xf numFmtId="0" fontId="0" fillId="0" borderId="0" xfId="0" applyFont="1" applyBorder="1" applyAlignment="1">
      <alignment wrapText="1"/>
    </xf>
    <xf numFmtId="2" fontId="0" fillId="0" borderId="0" xfId="0" applyNumberFormat="1" applyFont="1" applyBorder="1"/>
    <xf numFmtId="0" fontId="1" fillId="0" borderId="3" xfId="0" applyFont="1" applyFill="1" applyBorder="1"/>
    <xf numFmtId="0" fontId="0" fillId="0" borderId="4" xfId="0" applyFont="1" applyBorder="1"/>
    <xf numFmtId="0" fontId="1" fillId="8" borderId="2" xfId="0" applyFont="1" applyFill="1" applyBorder="1"/>
    <xf numFmtId="0" fontId="0" fillId="0" borderId="0" xfId="0" applyProtection="1"/>
    <xf numFmtId="1" fontId="0" fillId="0" borderId="0" xfId="0" applyNumberFormat="1" applyFont="1" applyBorder="1"/>
    <xf numFmtId="2" fontId="0" fillId="0" borderId="0" xfId="0" applyNumberFormat="1" applyFont="1" applyBorder="1" applyAlignment="1">
      <alignment wrapText="1"/>
    </xf>
    <xf numFmtId="0" fontId="1" fillId="0" borderId="5" xfId="0" applyFont="1" applyBorder="1"/>
    <xf numFmtId="0" fontId="1" fillId="2" borderId="5" xfId="0" applyFont="1" applyFill="1" applyBorder="1"/>
    <xf numFmtId="9" fontId="1" fillId="0" borderId="5" xfId="0" applyNumberFormat="1" applyFont="1" applyBorder="1"/>
    <xf numFmtId="0" fontId="1" fillId="3" borderId="5" xfId="0" applyFont="1" applyFill="1" applyBorder="1"/>
    <xf numFmtId="0" fontId="1" fillId="0" borderId="5" xfId="0" applyFont="1" applyFill="1" applyBorder="1"/>
    <xf numFmtId="0" fontId="1" fillId="0" borderId="5" xfId="0" applyFont="1" applyBorder="1" applyAlignment="1">
      <alignment wrapText="1"/>
    </xf>
    <xf numFmtId="2" fontId="1" fillId="8" borderId="5" xfId="0" applyNumberFormat="1" applyFont="1" applyFill="1" applyBorder="1"/>
    <xf numFmtId="0" fontId="1" fillId="8" borderId="5" xfId="0" applyFont="1" applyFill="1" applyBorder="1"/>
    <xf numFmtId="9" fontId="0" fillId="0" borderId="0" xfId="0" applyNumberFormat="1" applyFill="1" applyBorder="1"/>
    <xf numFmtId="0" fontId="0" fillId="0" borderId="0" xfId="0" applyFill="1" applyBorder="1" applyAlignment="1">
      <alignment wrapText="1"/>
    </xf>
    <xf numFmtId="2" fontId="0" fillId="0" borderId="0" xfId="0" applyNumberFormat="1" applyFill="1" applyBorder="1"/>
    <xf numFmtId="0" fontId="5" fillId="7" borderId="6" xfId="1" applyFont="1" applyFill="1" applyBorder="1" applyAlignment="1">
      <alignment wrapText="1"/>
    </xf>
    <xf numFmtId="0" fontId="0" fillId="7" borderId="1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1" fillId="9" borderId="10" xfId="0" applyFont="1" applyFill="1" applyBorder="1" applyAlignment="1">
      <alignment horizontal="center" wrapText="1"/>
    </xf>
    <xf numFmtId="0" fontId="1" fillId="9" borderId="11" xfId="0" applyFont="1" applyFill="1" applyBorder="1" applyAlignment="1">
      <alignment horizontal="center" wrapText="1"/>
    </xf>
    <xf numFmtId="0" fontId="0" fillId="10" borderId="1" xfId="0" applyFill="1" applyBorder="1" applyAlignment="1">
      <alignment horizontal="center" wrapText="1"/>
    </xf>
    <xf numFmtId="0" fontId="0" fillId="10" borderId="7" xfId="0" applyFill="1" applyBorder="1" applyAlignment="1">
      <alignment horizontal="center" wrapText="1"/>
    </xf>
    <xf numFmtId="0" fontId="0" fillId="10" borderId="13" xfId="0" applyFill="1" applyBorder="1" applyAlignment="1">
      <alignment horizontal="center" wrapText="1"/>
    </xf>
    <xf numFmtId="0" fontId="0" fillId="10" borderId="14" xfId="0" applyFill="1" applyBorder="1" applyAlignment="1">
      <alignment horizontal="center" wrapText="1"/>
    </xf>
    <xf numFmtId="0" fontId="1" fillId="9" borderId="15" xfId="0" applyFont="1" applyFill="1" applyBorder="1" applyAlignment="1">
      <alignment horizontal="center" wrapText="1"/>
    </xf>
    <xf numFmtId="0" fontId="0" fillId="10" borderId="8" xfId="0" applyFill="1" applyBorder="1" applyAlignment="1">
      <alignment horizontal="center" wrapText="1"/>
    </xf>
    <xf numFmtId="0" fontId="0" fillId="10" borderId="16" xfId="0" applyFill="1" applyBorder="1" applyAlignment="1">
      <alignment horizontal="center" wrapText="1"/>
    </xf>
    <xf numFmtId="0" fontId="0" fillId="7" borderId="6" xfId="0" applyFill="1" applyBorder="1" applyAlignment="1">
      <alignment horizontal="center" wrapText="1"/>
    </xf>
    <xf numFmtId="0" fontId="1" fillId="11" borderId="9" xfId="0" applyFont="1" applyFill="1" applyBorder="1" applyAlignment="1">
      <alignment horizontal="center" wrapText="1"/>
    </xf>
    <xf numFmtId="0" fontId="1" fillId="11" borderId="10" xfId="0" applyFont="1" applyFill="1" applyBorder="1" applyAlignment="1">
      <alignment horizontal="center" wrapText="1"/>
    </xf>
    <xf numFmtId="0" fontId="1" fillId="11" borderId="1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5" fillId="7" borderId="6" xfId="0" applyFont="1" applyFill="1" applyBorder="1" applyAlignment="1">
      <alignment wrapText="1"/>
    </xf>
    <xf numFmtId="0" fontId="5" fillId="7" borderId="6" xfId="2" applyFont="1" applyFill="1" applyBorder="1" applyAlignment="1">
      <alignment wrapText="1"/>
    </xf>
    <xf numFmtId="0" fontId="0" fillId="7" borderId="12" xfId="0" applyFill="1" applyBorder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14" xfId="0" applyFill="1" applyBorder="1" applyAlignment="1">
      <alignment horizontal="center" wrapText="1"/>
    </xf>
    <xf numFmtId="0" fontId="6" fillId="0" borderId="3" xfId="0" applyFont="1" applyFill="1" applyBorder="1" applyAlignment="1"/>
    <xf numFmtId="0" fontId="1" fillId="0" borderId="3" xfId="0" applyFont="1" applyFill="1" applyBorder="1" applyAlignment="1"/>
    <xf numFmtId="0" fontId="0" fillId="11" borderId="9" xfId="0" applyFont="1" applyFill="1" applyBorder="1" applyAlignment="1">
      <alignment wrapText="1"/>
    </xf>
    <xf numFmtId="0" fontId="0" fillId="11" borderId="11" xfId="0" applyFont="1" applyFill="1" applyBorder="1" applyAlignment="1">
      <alignment wrapText="1"/>
    </xf>
    <xf numFmtId="0" fontId="0" fillId="7" borderId="6" xfId="0" applyFont="1" applyFill="1" applyBorder="1" applyAlignment="1">
      <alignment wrapText="1"/>
    </xf>
    <xf numFmtId="0" fontId="0" fillId="7" borderId="7" xfId="0" applyFont="1" applyFill="1" applyBorder="1" applyAlignment="1">
      <alignment wrapText="1"/>
    </xf>
    <xf numFmtId="0" fontId="0" fillId="7" borderId="12" xfId="0" applyFont="1" applyFill="1" applyBorder="1" applyAlignment="1">
      <alignment wrapText="1"/>
    </xf>
    <xf numFmtId="0" fontId="0" fillId="7" borderId="14" xfId="0" applyFont="1" applyFill="1" applyBorder="1" applyAlignment="1">
      <alignment wrapText="1"/>
    </xf>
    <xf numFmtId="0" fontId="0" fillId="0" borderId="0" xfId="0" applyFont="1"/>
    <xf numFmtId="0" fontId="0" fillId="0" borderId="0" xfId="0" applyFill="1"/>
  </cellXfs>
  <cellStyles count="3">
    <cellStyle name="Bad" xfId="2" builtinId="27"/>
    <cellStyle name="Good" xfId="1" builtinId="26"/>
    <cellStyle name="Normal" xfId="0" builtinId="0"/>
  </cellStyles>
  <dxfs count="164"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371475</xdr:colOff>
          <xdr:row>1</xdr:row>
          <xdr:rowOff>76200</xdr:rowOff>
        </xdr:from>
        <xdr:to>
          <xdr:col>46</xdr:col>
          <xdr:colOff>552450</xdr:colOff>
          <xdr:row>3</xdr:row>
          <xdr:rowOff>161925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True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3</xdr:row>
          <xdr:rowOff>142875</xdr:rowOff>
        </xdr:from>
        <xdr:to>
          <xdr:col>14</xdr:col>
          <xdr:colOff>533400</xdr:colOff>
          <xdr:row>11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Here to Rank Scores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TECH\01_Active\2015_MPCA\10-Duluth_WRAPS\Obj.1-SID_Data_Gaps\TaskA-SID_Data\Sbtsk5-Field_Work\Culverts\All_DLH_Culver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ene 2016"/>
      <sheetName val="Merritt 2016"/>
      <sheetName val="Miller 2016"/>
      <sheetName val="Chester 2016"/>
      <sheetName val="Tischer 2016"/>
      <sheetName val="Amity 2016"/>
      <sheetName val="Drop down choic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 t="str">
            <v>Span Bridge</v>
          </cell>
          <cell r="B2" t="str">
            <v>Y</v>
          </cell>
          <cell r="C2" t="str">
            <v>Thalweg</v>
          </cell>
          <cell r="D2" t="str">
            <v>Circular</v>
          </cell>
          <cell r="E2" t="str">
            <v>CMP</v>
          </cell>
          <cell r="F2" t="str">
            <v>High</v>
          </cell>
          <cell r="G2" t="str">
            <v>Outlet Drop</v>
          </cell>
          <cell r="H2">
            <v>1</v>
          </cell>
          <cell r="I2" t="str">
            <v>AT</v>
          </cell>
        </row>
        <row r="3">
          <cell r="A3" t="str">
            <v>Culverts</v>
          </cell>
          <cell r="B3" t="str">
            <v>N</v>
          </cell>
          <cell r="C3" t="str">
            <v>Offset</v>
          </cell>
          <cell r="D3" t="str">
            <v>Box</v>
          </cell>
          <cell r="E3" t="str">
            <v>SMP</v>
          </cell>
          <cell r="F3" t="str">
            <v>Medium</v>
          </cell>
          <cell r="G3" t="str">
            <v>Velocity</v>
          </cell>
          <cell r="H3">
            <v>2</v>
          </cell>
          <cell r="I3" t="str">
            <v>AY</v>
          </cell>
        </row>
        <row r="4">
          <cell r="A4" t="str">
            <v>Ford</v>
          </cell>
          <cell r="C4" t="str">
            <v>Floodplain</v>
          </cell>
          <cell r="D4" t="str">
            <v>Pipe Arch</v>
          </cell>
          <cell r="E4" t="str">
            <v>Concrete</v>
          </cell>
          <cell r="F4" t="str">
            <v>Low</v>
          </cell>
          <cell r="G4" t="str">
            <v>Depth</v>
          </cell>
          <cell r="H4">
            <v>3</v>
          </cell>
          <cell r="I4" t="str">
            <v>MH, BN</v>
          </cell>
        </row>
        <row r="5">
          <cell r="A5" t="str">
            <v>Other</v>
          </cell>
          <cell r="D5" t="str">
            <v>Ellipse</v>
          </cell>
          <cell r="E5" t="str">
            <v>Wood</v>
          </cell>
          <cell r="G5" t="str">
            <v>Substrate</v>
          </cell>
          <cell r="H5">
            <v>4</v>
          </cell>
          <cell r="I5" t="str">
            <v>AT, AY</v>
          </cell>
        </row>
        <row r="6">
          <cell r="D6" t="str">
            <v>Open Bottom Arch</v>
          </cell>
          <cell r="E6" t="str">
            <v>Plastic</v>
          </cell>
          <cell r="G6" t="str">
            <v>Outlet Drop, Velocity</v>
          </cell>
          <cell r="H6">
            <v>5</v>
          </cell>
          <cell r="I6" t="str">
            <v>AT, TB</v>
          </cell>
        </row>
        <row r="7">
          <cell r="D7" t="str">
            <v>Bridge</v>
          </cell>
          <cell r="G7" t="str">
            <v>Outlet Drop, Depth</v>
          </cell>
          <cell r="H7">
            <v>6</v>
          </cell>
          <cell r="I7" t="str">
            <v>AY, TB</v>
          </cell>
        </row>
        <row r="8">
          <cell r="G8" t="str">
            <v>Outlet Drop, Substrate</v>
          </cell>
          <cell r="H8">
            <v>7</v>
          </cell>
          <cell r="I8" t="str">
            <v>AY, AT, TB</v>
          </cell>
        </row>
        <row r="9">
          <cell r="G9" t="str">
            <v>Velocity, Depth</v>
          </cell>
          <cell r="H9">
            <v>8</v>
          </cell>
          <cell r="I9" t="str">
            <v>AT, BN</v>
          </cell>
        </row>
        <row r="10">
          <cell r="G10" t="str">
            <v>Velocity, Substrate</v>
          </cell>
          <cell r="H10">
            <v>9</v>
          </cell>
        </row>
        <row r="11">
          <cell r="G11" t="str">
            <v>Depth, Substrate</v>
          </cell>
          <cell r="H11">
            <v>10</v>
          </cell>
        </row>
        <row r="12">
          <cell r="G12" t="str">
            <v>Outlet Drop, Velocity, Depth</v>
          </cell>
        </row>
        <row r="13">
          <cell r="G13" t="str">
            <v>Outlet Drop, Velocity, Substrate</v>
          </cell>
        </row>
        <row r="14">
          <cell r="G14" t="str">
            <v>Outlet Drop, Depth, Substrate</v>
          </cell>
        </row>
        <row r="15">
          <cell r="G15" t="str">
            <v>Velocity, Depth, Substrate</v>
          </cell>
        </row>
        <row r="16">
          <cell r="G16" t="str">
            <v>Outlet Drop, Velocity, Depth, Substrate</v>
          </cell>
        </row>
        <row r="17">
          <cell r="G17" t="str">
            <v>None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7"/>
  <sheetViews>
    <sheetView workbookViewId="0">
      <selection activeCell="K17" sqref="K17"/>
    </sheetView>
  </sheetViews>
  <sheetFormatPr defaultRowHeight="15" x14ac:dyDescent="0.25"/>
  <sheetData>
    <row r="1" spans="1:1" x14ac:dyDescent="0.25">
      <c r="A1" s="27" t="s">
        <v>88</v>
      </c>
    </row>
    <row r="2" spans="1:1" x14ac:dyDescent="0.25">
      <c r="A2" s="27" t="s">
        <v>91</v>
      </c>
    </row>
    <row r="3" spans="1:1" x14ac:dyDescent="0.25">
      <c r="A3" s="27" t="s">
        <v>122</v>
      </c>
    </row>
    <row r="4" spans="1:1" x14ac:dyDescent="0.25">
      <c r="A4" s="27" t="s">
        <v>123</v>
      </c>
    </row>
    <row r="5" spans="1:1" x14ac:dyDescent="0.25">
      <c r="A5" s="27" t="s">
        <v>124</v>
      </c>
    </row>
    <row r="6" spans="1:1" x14ac:dyDescent="0.25">
      <c r="A6" s="27" t="s">
        <v>125</v>
      </c>
    </row>
    <row r="7" spans="1:1" x14ac:dyDescent="0.25">
      <c r="A7" s="27" t="s">
        <v>126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F395"/>
  <sheetViews>
    <sheetView workbookViewId="0">
      <pane xSplit="3" ySplit="6" topLeftCell="AN7" activePane="bottomRight" state="frozen"/>
      <selection pane="topRight" activeCell="D1" sqref="D1"/>
      <selection pane="bottomLeft" activeCell="A2" sqref="A2"/>
      <selection pane="bottomRight" activeCell="AZ29" sqref="AZ29"/>
    </sheetView>
  </sheetViews>
  <sheetFormatPr defaultRowHeight="15" x14ac:dyDescent="0.25"/>
  <cols>
    <col min="1" max="1" width="3.85546875" style="2" bestFit="1" customWidth="1"/>
    <col min="2" max="2" width="13.140625" style="2" bestFit="1" customWidth="1"/>
    <col min="3" max="3" width="15.5703125" style="3" customWidth="1"/>
    <col min="4" max="4" width="15.28515625" style="2" customWidth="1"/>
    <col min="5" max="5" width="9.42578125" style="2" customWidth="1"/>
    <col min="6" max="6" width="9.7109375" style="2" customWidth="1"/>
    <col min="7" max="7" width="10.42578125" style="2" customWidth="1"/>
    <col min="8" max="8" width="7.140625" style="2" customWidth="1"/>
    <col min="9" max="9" width="8.140625" style="2" customWidth="1"/>
    <col min="10" max="10" width="13.5703125" style="2" customWidth="1"/>
    <col min="11" max="11" width="18.28515625" style="2" customWidth="1"/>
    <col min="12" max="12" width="11.5703125" style="2" customWidth="1"/>
    <col min="13" max="13" width="10.28515625" style="2" customWidth="1"/>
    <col min="14" max="14" width="24.7109375" style="2" customWidth="1"/>
    <col min="15" max="15" width="13.42578125" style="2" customWidth="1"/>
    <col min="16" max="16" width="17.5703125" style="2" customWidth="1"/>
    <col min="17" max="17" width="16.85546875" style="2" customWidth="1"/>
    <col min="18" max="18" width="6.7109375" style="2" customWidth="1"/>
    <col min="19" max="19" width="6.140625" style="2" customWidth="1"/>
    <col min="20" max="20" width="6.85546875" style="2" customWidth="1"/>
    <col min="21" max="21" width="12.42578125" style="2" customWidth="1"/>
    <col min="22" max="22" width="9.28515625" style="2" customWidth="1"/>
    <col min="23" max="23" width="10.7109375" style="4" customWidth="1"/>
    <col min="24" max="24" width="14.5703125" style="2" customWidth="1"/>
    <col min="25" max="25" width="19.42578125" style="2" customWidth="1"/>
    <col min="26" max="26" width="10.7109375" style="2" customWidth="1"/>
    <col min="27" max="27" width="14.5703125" style="2" customWidth="1"/>
    <col min="28" max="28" width="20.28515625" style="2" customWidth="1"/>
    <col min="29" max="29" width="13.140625" style="2" customWidth="1"/>
    <col min="30" max="30" width="11.28515625" style="5" customWidth="1"/>
    <col min="31" max="31" width="11.28515625" style="6" customWidth="1"/>
    <col min="32" max="32" width="15.42578125" style="2" customWidth="1"/>
    <col min="33" max="33" width="8.42578125" style="2" customWidth="1"/>
    <col min="34" max="34" width="34.42578125" style="7" customWidth="1"/>
    <col min="35" max="35" width="26" style="7" customWidth="1"/>
    <col min="36" max="36" width="17.5703125" style="2" customWidth="1"/>
    <col min="37" max="38" width="9.140625" style="1" customWidth="1"/>
    <col min="39" max="39" width="9.140625" style="2" customWidth="1"/>
    <col min="40" max="40" width="20.5703125" style="2" customWidth="1"/>
    <col min="41" max="41" width="12" style="1" customWidth="1"/>
    <col min="42" max="42" width="9.140625" style="2" customWidth="1"/>
    <col min="43" max="44" width="9.140625" style="3" customWidth="1"/>
    <col min="45" max="45" width="9.140625" style="2" customWidth="1"/>
    <col min="47" max="16384" width="9.140625" style="2"/>
  </cols>
  <sheetData>
    <row r="1" spans="1:84" s="8" customFormat="1" ht="7.5" customHeight="1" x14ac:dyDescent="0.25">
      <c r="W1" s="38"/>
      <c r="AH1" s="39"/>
      <c r="AI1" s="39"/>
      <c r="AK1" s="40"/>
      <c r="AL1" s="40"/>
      <c r="AO1" s="40"/>
    </row>
    <row r="2" spans="1:84" s="8" customFormat="1" ht="7.5" customHeight="1" x14ac:dyDescent="0.25">
      <c r="W2" s="38"/>
      <c r="AH2" s="39"/>
      <c r="AI2" s="39"/>
      <c r="AK2" s="40"/>
      <c r="AL2" s="40"/>
      <c r="AO2" s="40"/>
    </row>
    <row r="3" spans="1:84" s="8" customFormat="1" ht="7.5" customHeight="1" x14ac:dyDescent="0.25">
      <c r="W3" s="38"/>
      <c r="AH3" s="39"/>
      <c r="AI3" s="39"/>
      <c r="AK3" s="40"/>
      <c r="AL3" s="40"/>
      <c r="AO3" s="40"/>
    </row>
    <row r="4" spans="1:84" s="8" customFormat="1" ht="7.5" customHeight="1" x14ac:dyDescent="0.25">
      <c r="W4" s="38"/>
      <c r="AH4" s="39"/>
      <c r="AI4" s="39"/>
      <c r="AK4" s="40"/>
      <c r="AL4" s="40"/>
      <c r="AO4" s="40"/>
    </row>
    <row r="5" spans="1:84" s="8" customFormat="1" ht="7.5" customHeight="1" x14ac:dyDescent="0.25">
      <c r="W5" s="38"/>
      <c r="AH5" s="39"/>
      <c r="AI5" s="39"/>
      <c r="AK5" s="40"/>
      <c r="AL5" s="40"/>
      <c r="AO5" s="40"/>
    </row>
    <row r="6" spans="1:84" s="30" customFormat="1" ht="15.75" thickBot="1" x14ac:dyDescent="0.3">
      <c r="A6" s="30" t="s">
        <v>0</v>
      </c>
      <c r="B6" s="30" t="s">
        <v>1</v>
      </c>
      <c r="C6" s="31" t="s">
        <v>2</v>
      </c>
      <c r="D6" s="30" t="s">
        <v>76</v>
      </c>
      <c r="E6" s="30" t="s">
        <v>3</v>
      </c>
      <c r="F6" s="30" t="s">
        <v>4</v>
      </c>
      <c r="G6" s="30" t="s">
        <v>5</v>
      </c>
      <c r="H6" s="30" t="s">
        <v>6</v>
      </c>
      <c r="I6" s="30" t="s">
        <v>7</v>
      </c>
      <c r="J6" s="30" t="s">
        <v>8</v>
      </c>
      <c r="K6" s="30" t="s">
        <v>9</v>
      </c>
      <c r="L6" s="30" t="s">
        <v>10</v>
      </c>
      <c r="M6" s="30" t="s">
        <v>11</v>
      </c>
      <c r="N6" s="30" t="s">
        <v>12</v>
      </c>
      <c r="O6" s="30" t="s">
        <v>13</v>
      </c>
      <c r="P6" s="30" t="s">
        <v>14</v>
      </c>
      <c r="Q6" s="30" t="s">
        <v>15</v>
      </c>
      <c r="R6" s="30" t="s">
        <v>16</v>
      </c>
      <c r="S6" s="30" t="s">
        <v>17</v>
      </c>
      <c r="T6" s="30" t="s">
        <v>18</v>
      </c>
      <c r="U6" s="30" t="s">
        <v>19</v>
      </c>
      <c r="V6" s="30" t="s">
        <v>20</v>
      </c>
      <c r="W6" s="32" t="s">
        <v>21</v>
      </c>
      <c r="X6" s="30" t="s">
        <v>22</v>
      </c>
      <c r="Y6" s="30" t="s">
        <v>23</v>
      </c>
      <c r="Z6" s="30" t="s">
        <v>24</v>
      </c>
      <c r="AA6" s="30" t="s">
        <v>25</v>
      </c>
      <c r="AB6" s="30" t="s">
        <v>26</v>
      </c>
      <c r="AC6" s="30" t="s">
        <v>27</v>
      </c>
      <c r="AD6" s="33" t="s">
        <v>28</v>
      </c>
      <c r="AE6" s="34" t="s">
        <v>77</v>
      </c>
      <c r="AF6" s="30" t="s">
        <v>29</v>
      </c>
      <c r="AG6" s="30" t="s">
        <v>30</v>
      </c>
      <c r="AH6" s="35" t="s">
        <v>31</v>
      </c>
      <c r="AI6" s="35" t="s">
        <v>32</v>
      </c>
      <c r="AJ6" s="30" t="s">
        <v>78</v>
      </c>
      <c r="AK6" s="36" t="s">
        <v>79</v>
      </c>
      <c r="AL6" s="36" t="s">
        <v>89</v>
      </c>
      <c r="AM6" s="30" t="s">
        <v>33</v>
      </c>
      <c r="AN6" s="30" t="s">
        <v>34</v>
      </c>
      <c r="AO6" s="36" t="s">
        <v>35</v>
      </c>
      <c r="AP6" s="37" t="s">
        <v>90</v>
      </c>
      <c r="AQ6" s="37" t="s">
        <v>36</v>
      </c>
      <c r="AR6" s="37" t="s">
        <v>37</v>
      </c>
      <c r="AS6" s="34" t="s">
        <v>38</v>
      </c>
      <c r="AT6" s="26" t="s">
        <v>43</v>
      </c>
      <c r="AU6" s="37" t="s">
        <v>118</v>
      </c>
    </row>
    <row r="7" spans="1:84" s="25" customFormat="1" x14ac:dyDescent="0.25">
      <c r="A7" s="18">
        <v>1</v>
      </c>
      <c r="B7" s="18" t="s">
        <v>129</v>
      </c>
      <c r="C7" s="19" t="s">
        <v>128</v>
      </c>
      <c r="D7" s="19">
        <v>0.1</v>
      </c>
      <c r="E7" s="18"/>
      <c r="F7" s="18" t="s">
        <v>127</v>
      </c>
      <c r="G7" s="18">
        <v>42542</v>
      </c>
      <c r="H7" s="18" t="s">
        <v>127</v>
      </c>
      <c r="I7" s="18" t="s">
        <v>127</v>
      </c>
      <c r="J7" s="18" t="s">
        <v>92</v>
      </c>
      <c r="K7" s="18"/>
      <c r="L7" s="18">
        <v>0</v>
      </c>
      <c r="M7" s="18">
        <v>15</v>
      </c>
      <c r="N7" s="18" t="s">
        <v>93</v>
      </c>
      <c r="O7" s="18" t="s">
        <v>94</v>
      </c>
      <c r="P7" s="18" t="s">
        <v>95</v>
      </c>
      <c r="Q7" s="18" t="s">
        <v>96</v>
      </c>
      <c r="R7" s="18">
        <v>134</v>
      </c>
      <c r="S7" s="18">
        <v>15</v>
      </c>
      <c r="T7" s="18">
        <v>15</v>
      </c>
      <c r="U7" s="18"/>
      <c r="V7" s="18" t="s">
        <v>97</v>
      </c>
      <c r="W7" s="18">
        <v>0</v>
      </c>
      <c r="X7" s="28">
        <v>25</v>
      </c>
      <c r="Y7" s="18" t="s">
        <v>98</v>
      </c>
      <c r="Z7" s="18" t="s">
        <v>97</v>
      </c>
      <c r="AA7" s="18" t="s">
        <v>93</v>
      </c>
      <c r="AB7" s="18" t="s">
        <v>97</v>
      </c>
      <c r="AC7" s="18" t="s">
        <v>93</v>
      </c>
      <c r="AD7" s="18" t="s">
        <v>97</v>
      </c>
      <c r="AE7" s="20" t="s">
        <v>99</v>
      </c>
      <c r="AF7" s="21" t="s">
        <v>93</v>
      </c>
      <c r="AG7" s="18" t="s">
        <v>100</v>
      </c>
      <c r="AH7" s="18"/>
      <c r="AI7" s="22"/>
      <c r="AJ7" s="22">
        <v>294</v>
      </c>
      <c r="AK7" s="29">
        <f>M7/X7</f>
        <v>0.6</v>
      </c>
      <c r="AL7" s="18" t="b">
        <f>OR(AK7&gt;1.5,AK7&lt;0.8)</f>
        <v>1</v>
      </c>
      <c r="AM7" s="23"/>
      <c r="AN7" s="23"/>
      <c r="AO7" s="18" t="e">
        <f>M7/AN7</f>
        <v>#DIV/0!</v>
      </c>
      <c r="AP7" s="18" t="e">
        <f>OR(AO7&gt;1.5,AO7&lt;0.8)</f>
        <v>#DIV/0!</v>
      </c>
      <c r="AQ7" s="23" t="b">
        <f t="shared" ref="AQ7" si="0">OR(AK7&gt;1.5,AK7&lt;0.8,V7="N",L7&gt;0.01)</f>
        <v>1</v>
      </c>
      <c r="AR7" s="18" t="b">
        <f>AND(J7="Span Bridge", AK7&gt;1)</f>
        <v>0</v>
      </c>
      <c r="AS7" s="19" t="s">
        <v>39</v>
      </c>
      <c r="AT7" s="19" t="b">
        <f>AND(L7=0,AK7&gt;0.8,AK7&lt;1.5,V7="N",AD7="N")</f>
        <v>0</v>
      </c>
      <c r="AU7" s="18" t="b">
        <f t="shared" ref="AU7:AU58" si="1">AND(AQ7=TRUE,AR7=FALSE,AT7=FALSE)</f>
        <v>1</v>
      </c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x14ac:dyDescent="0.25">
      <c r="A8" s="10">
        <v>2</v>
      </c>
      <c r="B8" s="18" t="s">
        <v>129</v>
      </c>
      <c r="C8" s="19" t="s">
        <v>130</v>
      </c>
      <c r="D8" s="10">
        <v>0.15000000000000002</v>
      </c>
      <c r="E8" s="10">
        <v>1</v>
      </c>
      <c r="F8" s="18" t="s">
        <v>127</v>
      </c>
      <c r="G8" s="10">
        <v>42542</v>
      </c>
      <c r="H8" s="18" t="s">
        <v>127</v>
      </c>
      <c r="I8" s="18" t="s">
        <v>127</v>
      </c>
      <c r="J8" s="10" t="s">
        <v>101</v>
      </c>
      <c r="K8" s="10"/>
      <c r="L8" s="10">
        <v>0</v>
      </c>
      <c r="M8" s="10">
        <v>22</v>
      </c>
      <c r="N8" s="10" t="s">
        <v>97</v>
      </c>
      <c r="O8" s="10" t="s">
        <v>94</v>
      </c>
      <c r="P8" s="10" t="s">
        <v>102</v>
      </c>
      <c r="Q8" s="10" t="s">
        <v>96</v>
      </c>
      <c r="R8" s="10">
        <v>20</v>
      </c>
      <c r="S8" s="10">
        <v>11</v>
      </c>
      <c r="T8" s="10">
        <v>40</v>
      </c>
      <c r="U8" s="10"/>
      <c r="V8" s="10" t="s">
        <v>97</v>
      </c>
      <c r="W8" s="10">
        <v>0</v>
      </c>
      <c r="X8" s="10">
        <v>15</v>
      </c>
      <c r="Y8" s="10" t="s">
        <v>98</v>
      </c>
      <c r="Z8" s="10" t="s">
        <v>93</v>
      </c>
      <c r="AA8" s="10" t="s">
        <v>93</v>
      </c>
      <c r="AB8" s="10" t="s">
        <v>93</v>
      </c>
      <c r="AC8" s="10" t="s">
        <v>93</v>
      </c>
      <c r="AD8" s="10" t="s">
        <v>93</v>
      </c>
      <c r="AE8" s="10" t="s">
        <v>103</v>
      </c>
      <c r="AF8" s="10" t="s">
        <v>93</v>
      </c>
      <c r="AG8" s="10" t="s">
        <v>100</v>
      </c>
      <c r="AH8" s="10"/>
      <c r="AI8" s="10"/>
      <c r="AJ8" s="10">
        <v>386</v>
      </c>
      <c r="AK8" s="29">
        <f t="shared" ref="AK8:AK58" si="2">M8/X8</f>
        <v>1.4666666666666666</v>
      </c>
      <c r="AL8" s="18" t="b">
        <f t="shared" ref="AL8:AL58" si="3">OR(AK8&gt;1.5,AK8&lt;0.8)</f>
        <v>0</v>
      </c>
      <c r="AM8" s="10"/>
      <c r="AN8" s="10"/>
      <c r="AO8" s="18" t="e">
        <f t="shared" ref="AO8:AO58" si="4">M8/AN8</f>
        <v>#DIV/0!</v>
      </c>
      <c r="AP8" s="18" t="e">
        <f t="shared" ref="AP8:AP58" si="5">OR(AO8&gt;1.5,AO8&lt;0.8)</f>
        <v>#DIV/0!</v>
      </c>
      <c r="AQ8" s="23" t="b">
        <f t="shared" ref="AQ8:AQ58" si="6">OR(AK8&gt;1.5,AK8&lt;0.8,V8="N",L8&gt;0.01)</f>
        <v>0</v>
      </c>
      <c r="AR8" s="18" t="b">
        <f t="shared" ref="AR8:AR58" si="7">AND(J8="Span Bridge", AK8&gt;1)</f>
        <v>1</v>
      </c>
      <c r="AS8" s="10" t="s">
        <v>39</v>
      </c>
      <c r="AT8" s="19" t="b">
        <f t="shared" ref="AT8:AT58" si="8">AND(L8=0,AK8&gt;0.8,AK8&lt;1.5,V8="N",AD8="N")</f>
        <v>0</v>
      </c>
      <c r="AU8" s="18" t="b">
        <f t="shared" si="1"/>
        <v>0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</row>
    <row r="9" spans="1:84" x14ac:dyDescent="0.25">
      <c r="A9" s="10">
        <v>3</v>
      </c>
      <c r="B9" s="18" t="s">
        <v>129</v>
      </c>
      <c r="C9" s="19" t="s">
        <v>131</v>
      </c>
      <c r="D9" s="10">
        <v>0.15</v>
      </c>
      <c r="E9" s="10">
        <v>2</v>
      </c>
      <c r="F9" s="18" t="s">
        <v>127</v>
      </c>
      <c r="G9" s="10">
        <v>42542</v>
      </c>
      <c r="H9" s="18" t="s">
        <v>127</v>
      </c>
      <c r="I9" s="18" t="s">
        <v>127</v>
      </c>
      <c r="J9" s="10" t="s">
        <v>101</v>
      </c>
      <c r="K9" s="10"/>
      <c r="L9" s="10">
        <v>0</v>
      </c>
      <c r="M9" s="10">
        <v>22</v>
      </c>
      <c r="N9" s="10" t="s">
        <v>97</v>
      </c>
      <c r="O9" s="10" t="s">
        <v>104</v>
      </c>
      <c r="P9" s="10" t="s">
        <v>102</v>
      </c>
      <c r="Q9" s="10" t="s">
        <v>96</v>
      </c>
      <c r="R9" s="10">
        <v>20</v>
      </c>
      <c r="S9" s="10">
        <v>11</v>
      </c>
      <c r="T9" s="10">
        <v>40</v>
      </c>
      <c r="U9" s="10"/>
      <c r="V9" s="10" t="s">
        <v>97</v>
      </c>
      <c r="W9" s="10">
        <v>0</v>
      </c>
      <c r="X9" s="10">
        <v>15</v>
      </c>
      <c r="Y9" s="10" t="s">
        <v>98</v>
      </c>
      <c r="Z9" s="10" t="s">
        <v>93</v>
      </c>
      <c r="AA9" s="10" t="s">
        <v>93</v>
      </c>
      <c r="AB9" s="10" t="s">
        <v>93</v>
      </c>
      <c r="AC9" s="10" t="s">
        <v>93</v>
      </c>
      <c r="AD9" s="10" t="s">
        <v>93</v>
      </c>
      <c r="AE9" s="10" t="s">
        <v>103</v>
      </c>
      <c r="AF9" s="10" t="s">
        <v>93</v>
      </c>
      <c r="AG9" s="10" t="s">
        <v>100</v>
      </c>
      <c r="AH9" s="10"/>
      <c r="AI9" s="10"/>
      <c r="AJ9" s="10">
        <v>386</v>
      </c>
      <c r="AK9" s="29">
        <f t="shared" si="2"/>
        <v>1.4666666666666666</v>
      </c>
      <c r="AL9" s="18" t="b">
        <f t="shared" si="3"/>
        <v>0</v>
      </c>
      <c r="AM9" s="10"/>
      <c r="AN9" s="10"/>
      <c r="AO9" s="18" t="e">
        <f t="shared" si="4"/>
        <v>#DIV/0!</v>
      </c>
      <c r="AP9" s="18" t="e">
        <f t="shared" si="5"/>
        <v>#DIV/0!</v>
      </c>
      <c r="AQ9" s="23" t="b">
        <f t="shared" si="6"/>
        <v>0</v>
      </c>
      <c r="AR9" s="18" t="b">
        <f t="shared" si="7"/>
        <v>1</v>
      </c>
      <c r="AS9" s="10" t="s">
        <v>39</v>
      </c>
      <c r="AT9" s="19" t="b">
        <f t="shared" si="8"/>
        <v>0</v>
      </c>
      <c r="AU9" s="18" t="b">
        <f t="shared" si="1"/>
        <v>0</v>
      </c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</row>
    <row r="10" spans="1:84" x14ac:dyDescent="0.25">
      <c r="A10" s="10">
        <v>4</v>
      </c>
      <c r="B10" s="18" t="s">
        <v>129</v>
      </c>
      <c r="C10" s="19" t="s">
        <v>132</v>
      </c>
      <c r="D10" s="10">
        <v>0.52</v>
      </c>
      <c r="E10" s="10"/>
      <c r="F10" s="18" t="s">
        <v>127</v>
      </c>
      <c r="G10" s="10">
        <v>42542</v>
      </c>
      <c r="H10" s="18" t="s">
        <v>127</v>
      </c>
      <c r="I10" s="18" t="s">
        <v>127</v>
      </c>
      <c r="J10" s="10" t="s">
        <v>101</v>
      </c>
      <c r="K10" s="10"/>
      <c r="L10" s="10">
        <v>0</v>
      </c>
      <c r="M10" s="10">
        <v>217</v>
      </c>
      <c r="N10" s="10" t="s">
        <v>93</v>
      </c>
      <c r="O10" s="10" t="s">
        <v>94</v>
      </c>
      <c r="P10" s="10" t="s">
        <v>102</v>
      </c>
      <c r="Q10" s="10" t="s">
        <v>96</v>
      </c>
      <c r="R10" s="10">
        <v>67</v>
      </c>
      <c r="S10" s="10">
        <v>217</v>
      </c>
      <c r="T10" s="10">
        <v>50</v>
      </c>
      <c r="U10" s="10"/>
      <c r="V10" s="10" t="s">
        <v>97</v>
      </c>
      <c r="W10" s="10">
        <v>0</v>
      </c>
      <c r="X10" s="10">
        <v>27</v>
      </c>
      <c r="Y10" s="10" t="s">
        <v>98</v>
      </c>
      <c r="Z10" s="10" t="s">
        <v>97</v>
      </c>
      <c r="AA10" s="10" t="s">
        <v>97</v>
      </c>
      <c r="AB10" s="10" t="s">
        <v>93</v>
      </c>
      <c r="AC10" s="10" t="s">
        <v>93</v>
      </c>
      <c r="AD10" s="10" t="s">
        <v>93</v>
      </c>
      <c r="AE10" s="10" t="s">
        <v>99</v>
      </c>
      <c r="AF10" s="10" t="s">
        <v>97</v>
      </c>
      <c r="AG10" s="10" t="s">
        <v>105</v>
      </c>
      <c r="AH10" s="10"/>
      <c r="AI10" s="10"/>
      <c r="AJ10" s="10">
        <v>1572</v>
      </c>
      <c r="AK10" s="29">
        <f t="shared" si="2"/>
        <v>8.0370370370370363</v>
      </c>
      <c r="AL10" s="18" t="b">
        <f t="shared" si="3"/>
        <v>1</v>
      </c>
      <c r="AM10" s="10"/>
      <c r="AN10" s="10"/>
      <c r="AO10" s="18" t="e">
        <f t="shared" si="4"/>
        <v>#DIV/0!</v>
      </c>
      <c r="AP10" s="18" t="e">
        <f t="shared" si="5"/>
        <v>#DIV/0!</v>
      </c>
      <c r="AQ10" s="23" t="b">
        <f t="shared" si="6"/>
        <v>1</v>
      </c>
      <c r="AR10" s="18" t="b">
        <f t="shared" si="7"/>
        <v>1</v>
      </c>
      <c r="AS10" s="10" t="s">
        <v>40</v>
      </c>
      <c r="AT10" s="19" t="b">
        <f t="shared" si="8"/>
        <v>0</v>
      </c>
      <c r="AU10" s="18" t="b">
        <f t="shared" si="1"/>
        <v>0</v>
      </c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</row>
    <row r="11" spans="1:84" x14ac:dyDescent="0.25">
      <c r="A11" s="10">
        <v>5</v>
      </c>
      <c r="B11" s="18" t="s">
        <v>129</v>
      </c>
      <c r="C11" s="19" t="s">
        <v>133</v>
      </c>
      <c r="D11" s="10">
        <v>0.86</v>
      </c>
      <c r="E11" s="10"/>
      <c r="F11" s="18" t="s">
        <v>127</v>
      </c>
      <c r="G11" s="10">
        <v>42542</v>
      </c>
      <c r="H11" s="18" t="s">
        <v>127</v>
      </c>
      <c r="I11" s="18" t="s">
        <v>127</v>
      </c>
      <c r="J11" s="10" t="s">
        <v>101</v>
      </c>
      <c r="K11" s="10"/>
      <c r="L11" s="10">
        <v>0</v>
      </c>
      <c r="M11" s="10">
        <v>26</v>
      </c>
      <c r="N11" s="10" t="s">
        <v>97</v>
      </c>
      <c r="O11" s="10" t="s">
        <v>94</v>
      </c>
      <c r="P11" s="10" t="s">
        <v>102</v>
      </c>
      <c r="Q11" s="10" t="s">
        <v>96</v>
      </c>
      <c r="R11" s="10">
        <v>54</v>
      </c>
      <c r="S11" s="10">
        <v>26</v>
      </c>
      <c r="T11" s="10">
        <v>12</v>
      </c>
      <c r="U11" s="10"/>
      <c r="V11" s="10" t="s">
        <v>97</v>
      </c>
      <c r="W11" s="10">
        <v>0</v>
      </c>
      <c r="X11" s="10">
        <v>22</v>
      </c>
      <c r="Y11" s="10" t="s">
        <v>98</v>
      </c>
      <c r="Z11" s="10" t="s">
        <v>93</v>
      </c>
      <c r="AA11" s="10" t="s">
        <v>93</v>
      </c>
      <c r="AB11" s="10" t="s">
        <v>93</v>
      </c>
      <c r="AC11" s="10" t="s">
        <v>93</v>
      </c>
      <c r="AD11" s="10" t="s">
        <v>93</v>
      </c>
      <c r="AE11" s="10" t="s">
        <v>103</v>
      </c>
      <c r="AF11" s="10" t="s">
        <v>93</v>
      </c>
      <c r="AG11" s="10" t="s">
        <v>100</v>
      </c>
      <c r="AH11" s="10"/>
      <c r="AI11" s="10"/>
      <c r="AJ11" s="10">
        <v>1243</v>
      </c>
      <c r="AK11" s="29">
        <f t="shared" si="2"/>
        <v>1.1818181818181819</v>
      </c>
      <c r="AL11" s="18" t="b">
        <f t="shared" si="3"/>
        <v>0</v>
      </c>
      <c r="AM11" s="10"/>
      <c r="AN11" s="10"/>
      <c r="AO11" s="18" t="e">
        <f t="shared" si="4"/>
        <v>#DIV/0!</v>
      </c>
      <c r="AP11" s="18" t="e">
        <f t="shared" si="5"/>
        <v>#DIV/0!</v>
      </c>
      <c r="AQ11" s="23" t="b">
        <f t="shared" si="6"/>
        <v>0</v>
      </c>
      <c r="AR11" s="18" t="b">
        <f t="shared" si="7"/>
        <v>1</v>
      </c>
      <c r="AS11" s="10" t="s">
        <v>39</v>
      </c>
      <c r="AT11" s="19" t="b">
        <f t="shared" si="8"/>
        <v>0</v>
      </c>
      <c r="AU11" s="18" t="b">
        <f t="shared" si="1"/>
        <v>0</v>
      </c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</row>
    <row r="12" spans="1:84" x14ac:dyDescent="0.25">
      <c r="A12" s="10">
        <v>6</v>
      </c>
      <c r="B12" s="18" t="s">
        <v>129</v>
      </c>
      <c r="C12" s="19" t="s">
        <v>134</v>
      </c>
      <c r="D12" s="10">
        <v>1.21</v>
      </c>
      <c r="E12" s="10"/>
      <c r="F12" s="18" t="s">
        <v>127</v>
      </c>
      <c r="G12" s="10">
        <v>42542</v>
      </c>
      <c r="H12" s="18" t="s">
        <v>127</v>
      </c>
      <c r="I12" s="18" t="s">
        <v>127</v>
      </c>
      <c r="J12" s="10" t="s">
        <v>101</v>
      </c>
      <c r="K12" s="10"/>
      <c r="L12" s="10">
        <v>0</v>
      </c>
      <c r="M12" s="10">
        <v>18</v>
      </c>
      <c r="N12" s="10" t="s">
        <v>93</v>
      </c>
      <c r="O12" s="10" t="s">
        <v>94</v>
      </c>
      <c r="P12" s="10" t="s">
        <v>102</v>
      </c>
      <c r="Q12" s="10" t="s">
        <v>96</v>
      </c>
      <c r="R12" s="10">
        <v>33</v>
      </c>
      <c r="S12" s="10">
        <v>18</v>
      </c>
      <c r="T12" s="10">
        <v>30</v>
      </c>
      <c r="U12" s="10"/>
      <c r="V12" s="10" t="s">
        <v>97</v>
      </c>
      <c r="W12" s="10">
        <v>0</v>
      </c>
      <c r="X12" s="10">
        <v>19</v>
      </c>
      <c r="Y12" s="10" t="s">
        <v>98</v>
      </c>
      <c r="Z12" s="10" t="s">
        <v>93</v>
      </c>
      <c r="AA12" s="10" t="s">
        <v>93</v>
      </c>
      <c r="AB12" s="10" t="s">
        <v>93</v>
      </c>
      <c r="AC12" s="10" t="s">
        <v>93</v>
      </c>
      <c r="AD12" s="10" t="s">
        <v>93</v>
      </c>
      <c r="AE12" s="10" t="s">
        <v>103</v>
      </c>
      <c r="AF12" s="10" t="s">
        <v>93</v>
      </c>
      <c r="AG12" s="10" t="s">
        <v>100</v>
      </c>
      <c r="AH12" s="10"/>
      <c r="AI12" s="10"/>
      <c r="AJ12" s="10">
        <v>290</v>
      </c>
      <c r="AK12" s="29">
        <f t="shared" si="2"/>
        <v>0.94736842105263153</v>
      </c>
      <c r="AL12" s="18" t="b">
        <f t="shared" si="3"/>
        <v>0</v>
      </c>
      <c r="AM12" s="10"/>
      <c r="AN12" s="10"/>
      <c r="AO12" s="18" t="e">
        <f t="shared" si="4"/>
        <v>#DIV/0!</v>
      </c>
      <c r="AP12" s="18" t="e">
        <f t="shared" si="5"/>
        <v>#DIV/0!</v>
      </c>
      <c r="AQ12" s="23" t="b">
        <f t="shared" si="6"/>
        <v>0</v>
      </c>
      <c r="AR12" s="18" t="b">
        <f t="shared" si="7"/>
        <v>0</v>
      </c>
      <c r="AS12" s="10" t="s">
        <v>39</v>
      </c>
      <c r="AT12" s="19" t="b">
        <f t="shared" si="8"/>
        <v>0</v>
      </c>
      <c r="AU12" s="18" t="b">
        <f t="shared" si="1"/>
        <v>0</v>
      </c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</row>
    <row r="13" spans="1:84" x14ac:dyDescent="0.25">
      <c r="A13" s="10">
        <v>7</v>
      </c>
      <c r="B13" s="18" t="s">
        <v>129</v>
      </c>
      <c r="C13" s="19" t="s">
        <v>135</v>
      </c>
      <c r="D13" s="10">
        <v>1.3399999999999999</v>
      </c>
      <c r="E13" s="10"/>
      <c r="F13" s="18" t="s">
        <v>127</v>
      </c>
      <c r="G13" s="10">
        <v>42542</v>
      </c>
      <c r="H13" s="18" t="s">
        <v>127</v>
      </c>
      <c r="I13" s="18" t="s">
        <v>127</v>
      </c>
      <c r="J13" s="10" t="s">
        <v>101</v>
      </c>
      <c r="K13" s="10"/>
      <c r="L13" s="10">
        <v>0</v>
      </c>
      <c r="M13" s="10">
        <v>26</v>
      </c>
      <c r="N13" s="10" t="s">
        <v>93</v>
      </c>
      <c r="O13" s="10" t="s">
        <v>94</v>
      </c>
      <c r="P13" s="10" t="s">
        <v>102</v>
      </c>
      <c r="Q13" s="10" t="s">
        <v>96</v>
      </c>
      <c r="R13" s="10">
        <v>70</v>
      </c>
      <c r="S13" s="10">
        <v>26</v>
      </c>
      <c r="T13" s="10">
        <v>10</v>
      </c>
      <c r="U13" s="10"/>
      <c r="V13" s="10" t="s">
        <v>97</v>
      </c>
      <c r="W13" s="10">
        <v>0</v>
      </c>
      <c r="X13" s="10">
        <v>18</v>
      </c>
      <c r="Y13" s="10" t="s">
        <v>98</v>
      </c>
      <c r="Z13" s="10" t="s">
        <v>93</v>
      </c>
      <c r="AA13" s="10" t="s">
        <v>93</v>
      </c>
      <c r="AB13" s="10" t="s">
        <v>93</v>
      </c>
      <c r="AC13" s="10" t="s">
        <v>93</v>
      </c>
      <c r="AD13" s="10" t="s">
        <v>93</v>
      </c>
      <c r="AE13" s="10" t="s">
        <v>103</v>
      </c>
      <c r="AF13" s="10" t="s">
        <v>93</v>
      </c>
      <c r="AG13" s="10" t="s">
        <v>105</v>
      </c>
      <c r="AH13" s="10"/>
      <c r="AI13" s="10"/>
      <c r="AJ13" s="10">
        <v>907</v>
      </c>
      <c r="AK13" s="29">
        <f t="shared" si="2"/>
        <v>1.4444444444444444</v>
      </c>
      <c r="AL13" s="18" t="b">
        <f t="shared" si="3"/>
        <v>0</v>
      </c>
      <c r="AM13" s="10"/>
      <c r="AN13" s="10"/>
      <c r="AO13" s="18" t="e">
        <f t="shared" si="4"/>
        <v>#DIV/0!</v>
      </c>
      <c r="AP13" s="18" t="e">
        <f t="shared" si="5"/>
        <v>#DIV/0!</v>
      </c>
      <c r="AQ13" s="23" t="b">
        <f t="shared" si="6"/>
        <v>0</v>
      </c>
      <c r="AR13" s="18" t="b">
        <f t="shared" si="7"/>
        <v>1</v>
      </c>
      <c r="AS13" s="10" t="s">
        <v>40</v>
      </c>
      <c r="AT13" s="19" t="b">
        <f t="shared" si="8"/>
        <v>0</v>
      </c>
      <c r="AU13" s="18" t="b">
        <f t="shared" si="1"/>
        <v>0</v>
      </c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</row>
    <row r="14" spans="1:84" x14ac:dyDescent="0.25">
      <c r="A14" s="10">
        <v>8</v>
      </c>
      <c r="B14" s="18" t="s">
        <v>129</v>
      </c>
      <c r="C14" s="19" t="s">
        <v>136</v>
      </c>
      <c r="D14" s="10">
        <v>1.43</v>
      </c>
      <c r="E14" s="10"/>
      <c r="F14" s="18" t="s">
        <v>127</v>
      </c>
      <c r="G14" s="10">
        <v>42542</v>
      </c>
      <c r="H14" s="18" t="s">
        <v>127</v>
      </c>
      <c r="I14" s="18" t="s">
        <v>127</v>
      </c>
      <c r="J14" s="10" t="s">
        <v>101</v>
      </c>
      <c r="K14" s="10"/>
      <c r="L14" s="10">
        <v>0</v>
      </c>
      <c r="M14" s="10">
        <v>20</v>
      </c>
      <c r="N14" s="10" t="s">
        <v>97</v>
      </c>
      <c r="O14" s="10" t="s">
        <v>94</v>
      </c>
      <c r="P14" s="10" t="s">
        <v>102</v>
      </c>
      <c r="Q14" s="10" t="s">
        <v>96</v>
      </c>
      <c r="R14" s="10">
        <v>10</v>
      </c>
      <c r="S14" s="10">
        <v>20</v>
      </c>
      <c r="T14" s="10">
        <v>12</v>
      </c>
      <c r="U14" s="10"/>
      <c r="V14" s="10" t="s">
        <v>97</v>
      </c>
      <c r="W14" s="10">
        <v>0</v>
      </c>
      <c r="X14" s="10">
        <v>18</v>
      </c>
      <c r="Y14" s="10" t="s">
        <v>98</v>
      </c>
      <c r="Z14" s="10" t="s">
        <v>93</v>
      </c>
      <c r="AA14" s="10" t="s">
        <v>93</v>
      </c>
      <c r="AB14" s="10" t="s">
        <v>93</v>
      </c>
      <c r="AC14" s="10" t="s">
        <v>97</v>
      </c>
      <c r="AD14" s="10" t="s">
        <v>93</v>
      </c>
      <c r="AE14" s="10" t="s">
        <v>103</v>
      </c>
      <c r="AF14" s="10" t="s">
        <v>97</v>
      </c>
      <c r="AG14" s="10" t="s">
        <v>100</v>
      </c>
      <c r="AH14" s="10"/>
      <c r="AI14" s="10"/>
      <c r="AJ14" s="10">
        <v>412</v>
      </c>
      <c r="AK14" s="29">
        <f t="shared" si="2"/>
        <v>1.1111111111111112</v>
      </c>
      <c r="AL14" s="18" t="b">
        <f t="shared" si="3"/>
        <v>0</v>
      </c>
      <c r="AM14" s="10"/>
      <c r="AN14" s="10"/>
      <c r="AO14" s="18" t="e">
        <f t="shared" si="4"/>
        <v>#DIV/0!</v>
      </c>
      <c r="AP14" s="18" t="e">
        <f t="shared" si="5"/>
        <v>#DIV/0!</v>
      </c>
      <c r="AQ14" s="23" t="b">
        <f t="shared" si="6"/>
        <v>0</v>
      </c>
      <c r="AR14" s="18" t="b">
        <f t="shared" si="7"/>
        <v>1</v>
      </c>
      <c r="AS14" s="10" t="s">
        <v>40</v>
      </c>
      <c r="AT14" s="19" t="b">
        <f t="shared" si="8"/>
        <v>0</v>
      </c>
      <c r="AU14" s="18" t="b">
        <f t="shared" si="1"/>
        <v>0</v>
      </c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</row>
    <row r="15" spans="1:84" x14ac:dyDescent="0.25">
      <c r="A15" s="10">
        <v>9</v>
      </c>
      <c r="B15" s="18" t="s">
        <v>129</v>
      </c>
      <c r="C15" s="19" t="s">
        <v>137</v>
      </c>
      <c r="D15" s="10">
        <v>1.46</v>
      </c>
      <c r="E15" s="10"/>
      <c r="F15" s="18" t="s">
        <v>127</v>
      </c>
      <c r="G15" s="10">
        <v>42542</v>
      </c>
      <c r="H15" s="18" t="s">
        <v>127</v>
      </c>
      <c r="I15" s="18" t="s">
        <v>127</v>
      </c>
      <c r="J15" s="10" t="s">
        <v>101</v>
      </c>
      <c r="K15" s="10"/>
      <c r="L15" s="10">
        <v>0</v>
      </c>
      <c r="M15" s="10">
        <v>52</v>
      </c>
      <c r="N15" s="10" t="s">
        <v>97</v>
      </c>
      <c r="O15" s="10" t="s">
        <v>94</v>
      </c>
      <c r="P15" s="10" t="s">
        <v>102</v>
      </c>
      <c r="Q15" s="10" t="s">
        <v>106</v>
      </c>
      <c r="R15" s="10">
        <v>10</v>
      </c>
      <c r="S15" s="10">
        <v>52</v>
      </c>
      <c r="T15" s="10">
        <v>15</v>
      </c>
      <c r="U15" s="10"/>
      <c r="V15" s="10" t="s">
        <v>97</v>
      </c>
      <c r="W15" s="10">
        <v>0</v>
      </c>
      <c r="X15" s="10">
        <v>19</v>
      </c>
      <c r="Y15" s="10" t="s">
        <v>98</v>
      </c>
      <c r="Z15" s="10" t="s">
        <v>97</v>
      </c>
      <c r="AA15" s="10" t="s">
        <v>93</v>
      </c>
      <c r="AB15" s="10" t="s">
        <v>93</v>
      </c>
      <c r="AC15" s="10" t="s">
        <v>93</v>
      </c>
      <c r="AD15" s="10" t="s">
        <v>93</v>
      </c>
      <c r="AE15" s="10" t="s">
        <v>99</v>
      </c>
      <c r="AF15" s="10" t="s">
        <v>93</v>
      </c>
      <c r="AG15" s="10" t="s">
        <v>100</v>
      </c>
      <c r="AH15" s="10"/>
      <c r="AI15" s="10"/>
      <c r="AJ15" s="10">
        <v>261</v>
      </c>
      <c r="AK15" s="29">
        <f t="shared" si="2"/>
        <v>2.736842105263158</v>
      </c>
      <c r="AL15" s="18" t="b">
        <f t="shared" si="3"/>
        <v>1</v>
      </c>
      <c r="AM15" s="10"/>
      <c r="AN15" s="10"/>
      <c r="AO15" s="18" t="e">
        <f t="shared" si="4"/>
        <v>#DIV/0!</v>
      </c>
      <c r="AP15" s="18" t="e">
        <f t="shared" si="5"/>
        <v>#DIV/0!</v>
      </c>
      <c r="AQ15" s="23" t="b">
        <f t="shared" si="6"/>
        <v>1</v>
      </c>
      <c r="AR15" s="18" t="b">
        <f t="shared" si="7"/>
        <v>1</v>
      </c>
      <c r="AS15" s="10" t="s">
        <v>40</v>
      </c>
      <c r="AT15" s="19" t="b">
        <f t="shared" si="8"/>
        <v>0</v>
      </c>
      <c r="AU15" s="18" t="b">
        <f t="shared" si="1"/>
        <v>0</v>
      </c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</row>
    <row r="16" spans="1:84" x14ac:dyDescent="0.25">
      <c r="A16" s="10">
        <v>10</v>
      </c>
      <c r="B16" s="18" t="s">
        <v>129</v>
      </c>
      <c r="C16" s="19" t="s">
        <v>138</v>
      </c>
      <c r="D16" s="10">
        <v>1.53</v>
      </c>
      <c r="E16" s="10"/>
      <c r="F16" s="18" t="s">
        <v>127</v>
      </c>
      <c r="G16" s="10">
        <v>42542</v>
      </c>
      <c r="H16" s="18" t="s">
        <v>127</v>
      </c>
      <c r="I16" s="18" t="s">
        <v>127</v>
      </c>
      <c r="J16" s="10" t="s">
        <v>92</v>
      </c>
      <c r="K16" s="10"/>
      <c r="L16" s="10">
        <v>0</v>
      </c>
      <c r="M16" s="10">
        <v>10</v>
      </c>
      <c r="N16" s="10" t="s">
        <v>93</v>
      </c>
      <c r="O16" s="10" t="s">
        <v>94</v>
      </c>
      <c r="P16" s="10" t="s">
        <v>107</v>
      </c>
      <c r="Q16" s="10" t="s">
        <v>96</v>
      </c>
      <c r="R16" s="10">
        <v>176</v>
      </c>
      <c r="S16" s="10">
        <v>10</v>
      </c>
      <c r="T16" s="10">
        <v>6</v>
      </c>
      <c r="U16" s="10"/>
      <c r="V16" s="10" t="s">
        <v>97</v>
      </c>
      <c r="W16" s="10">
        <v>0</v>
      </c>
      <c r="X16" s="10">
        <v>19</v>
      </c>
      <c r="Y16" s="10" t="s">
        <v>98</v>
      </c>
      <c r="Z16" s="10" t="s">
        <v>97</v>
      </c>
      <c r="AA16" s="10" t="s">
        <v>97</v>
      </c>
      <c r="AB16" s="10" t="s">
        <v>93</v>
      </c>
      <c r="AC16" s="10" t="s">
        <v>97</v>
      </c>
      <c r="AD16" s="10" t="s">
        <v>97</v>
      </c>
      <c r="AE16" s="10" t="s">
        <v>108</v>
      </c>
      <c r="AF16" s="10" t="s">
        <v>97</v>
      </c>
      <c r="AG16" s="10" t="s">
        <v>105</v>
      </c>
      <c r="AH16" s="10"/>
      <c r="AI16" s="10"/>
      <c r="AJ16" s="10">
        <v>2425</v>
      </c>
      <c r="AK16" s="29">
        <f t="shared" si="2"/>
        <v>0.52631578947368418</v>
      </c>
      <c r="AL16" s="18" t="b">
        <f t="shared" si="3"/>
        <v>1</v>
      </c>
      <c r="AM16" s="10"/>
      <c r="AN16" s="10"/>
      <c r="AO16" s="18" t="e">
        <f t="shared" si="4"/>
        <v>#DIV/0!</v>
      </c>
      <c r="AP16" s="18" t="e">
        <f t="shared" si="5"/>
        <v>#DIV/0!</v>
      </c>
      <c r="AQ16" s="23" t="b">
        <f t="shared" si="6"/>
        <v>1</v>
      </c>
      <c r="AR16" s="18" t="b">
        <f t="shared" si="7"/>
        <v>0</v>
      </c>
      <c r="AS16" s="10" t="s">
        <v>40</v>
      </c>
      <c r="AT16" s="19" t="b">
        <f t="shared" si="8"/>
        <v>0</v>
      </c>
      <c r="AU16" s="18" t="b">
        <f t="shared" si="1"/>
        <v>1</v>
      </c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</row>
    <row r="17" spans="1:84" x14ac:dyDescent="0.25">
      <c r="A17" s="10">
        <v>11</v>
      </c>
      <c r="B17" s="18" t="s">
        <v>129</v>
      </c>
      <c r="C17" s="19" t="s">
        <v>139</v>
      </c>
      <c r="D17" s="10">
        <v>1.99</v>
      </c>
      <c r="E17" s="10">
        <v>1</v>
      </c>
      <c r="F17" s="18" t="s">
        <v>127</v>
      </c>
      <c r="G17" s="10">
        <v>42542</v>
      </c>
      <c r="H17" s="18" t="s">
        <v>127</v>
      </c>
      <c r="I17" s="18" t="s">
        <v>127</v>
      </c>
      <c r="J17" s="10" t="s">
        <v>92</v>
      </c>
      <c r="K17" s="10">
        <v>2</v>
      </c>
      <c r="L17" s="10">
        <v>0</v>
      </c>
      <c r="M17" s="10">
        <v>22</v>
      </c>
      <c r="N17" s="10" t="s">
        <v>93</v>
      </c>
      <c r="O17" s="10" t="s">
        <v>94</v>
      </c>
      <c r="P17" s="10" t="s">
        <v>107</v>
      </c>
      <c r="Q17" s="10" t="s">
        <v>96</v>
      </c>
      <c r="R17" s="10">
        <v>37</v>
      </c>
      <c r="S17" s="10">
        <v>12</v>
      </c>
      <c r="T17" s="10">
        <v>5</v>
      </c>
      <c r="U17" s="10"/>
      <c r="V17" s="10" t="s">
        <v>97</v>
      </c>
      <c r="W17" s="10">
        <v>0</v>
      </c>
      <c r="X17" s="10">
        <v>21</v>
      </c>
      <c r="Y17" s="10" t="s">
        <v>98</v>
      </c>
      <c r="Z17" s="10" t="s">
        <v>93</v>
      </c>
      <c r="AA17" s="10" t="s">
        <v>93</v>
      </c>
      <c r="AB17" s="10" t="s">
        <v>93</v>
      </c>
      <c r="AC17" s="10" t="s">
        <v>93</v>
      </c>
      <c r="AD17" s="10" t="s">
        <v>93</v>
      </c>
      <c r="AE17" s="10" t="s">
        <v>103</v>
      </c>
      <c r="AF17" s="10" t="s">
        <v>97</v>
      </c>
      <c r="AG17" s="10" t="s">
        <v>98</v>
      </c>
      <c r="AH17" s="10"/>
      <c r="AI17" s="10"/>
      <c r="AJ17" s="10">
        <v>204</v>
      </c>
      <c r="AK17" s="29">
        <f t="shared" si="2"/>
        <v>1.0476190476190477</v>
      </c>
      <c r="AL17" s="18" t="b">
        <f t="shared" si="3"/>
        <v>0</v>
      </c>
      <c r="AM17" s="10"/>
      <c r="AN17" s="10"/>
      <c r="AO17" s="18" t="e">
        <f t="shared" si="4"/>
        <v>#DIV/0!</v>
      </c>
      <c r="AP17" s="18" t="e">
        <f t="shared" si="5"/>
        <v>#DIV/0!</v>
      </c>
      <c r="AQ17" s="23" t="b">
        <f t="shared" si="6"/>
        <v>0</v>
      </c>
      <c r="AR17" s="18" t="b">
        <f t="shared" si="7"/>
        <v>0</v>
      </c>
      <c r="AS17" s="10" t="s">
        <v>41</v>
      </c>
      <c r="AT17" s="19" t="b">
        <f t="shared" si="8"/>
        <v>0</v>
      </c>
      <c r="AU17" s="18" t="b">
        <f t="shared" si="1"/>
        <v>0</v>
      </c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</row>
    <row r="18" spans="1:84" x14ac:dyDescent="0.25">
      <c r="A18" s="10">
        <v>12</v>
      </c>
      <c r="B18" s="18" t="s">
        <v>129</v>
      </c>
      <c r="C18" s="19" t="s">
        <v>140</v>
      </c>
      <c r="D18" s="10">
        <v>1.99</v>
      </c>
      <c r="E18" s="10">
        <v>2</v>
      </c>
      <c r="F18" s="18" t="s">
        <v>127</v>
      </c>
      <c r="G18" s="10">
        <v>42542</v>
      </c>
      <c r="H18" s="18" t="s">
        <v>127</v>
      </c>
      <c r="I18" s="18" t="s">
        <v>127</v>
      </c>
      <c r="J18" s="10" t="s">
        <v>92</v>
      </c>
      <c r="K18" s="10">
        <v>2</v>
      </c>
      <c r="L18" s="10">
        <v>0</v>
      </c>
      <c r="M18" s="10">
        <v>22</v>
      </c>
      <c r="N18" s="10" t="s">
        <v>93</v>
      </c>
      <c r="O18" s="10" t="s">
        <v>94</v>
      </c>
      <c r="P18" s="10" t="s">
        <v>107</v>
      </c>
      <c r="Q18" s="10" t="s">
        <v>96</v>
      </c>
      <c r="R18" s="10">
        <v>37</v>
      </c>
      <c r="S18" s="10">
        <v>10</v>
      </c>
      <c r="T18" s="10">
        <v>5</v>
      </c>
      <c r="U18" s="10"/>
      <c r="V18" s="10" t="s">
        <v>97</v>
      </c>
      <c r="W18" s="10">
        <v>0</v>
      </c>
      <c r="X18" s="10">
        <v>21</v>
      </c>
      <c r="Y18" s="10" t="s">
        <v>98</v>
      </c>
      <c r="Z18" s="10" t="s">
        <v>93</v>
      </c>
      <c r="AA18" s="10" t="s">
        <v>93</v>
      </c>
      <c r="AB18" s="10" t="s">
        <v>93</v>
      </c>
      <c r="AC18" s="10" t="s">
        <v>93</v>
      </c>
      <c r="AD18" s="10" t="s">
        <v>93</v>
      </c>
      <c r="AE18" s="10" t="s">
        <v>109</v>
      </c>
      <c r="AF18" s="10" t="s">
        <v>97</v>
      </c>
      <c r="AG18" s="10" t="s">
        <v>98</v>
      </c>
      <c r="AH18" s="10"/>
      <c r="AI18" s="10"/>
      <c r="AJ18" s="10">
        <v>204</v>
      </c>
      <c r="AK18" s="29">
        <f t="shared" si="2"/>
        <v>1.0476190476190477</v>
      </c>
      <c r="AL18" s="18" t="b">
        <f t="shared" si="3"/>
        <v>0</v>
      </c>
      <c r="AM18" s="10"/>
      <c r="AN18" s="10"/>
      <c r="AO18" s="18" t="e">
        <f t="shared" si="4"/>
        <v>#DIV/0!</v>
      </c>
      <c r="AP18" s="18" t="e">
        <f t="shared" si="5"/>
        <v>#DIV/0!</v>
      </c>
      <c r="AQ18" s="23" t="b">
        <f t="shared" si="6"/>
        <v>0</v>
      </c>
      <c r="AR18" s="18" t="b">
        <f t="shared" si="7"/>
        <v>0</v>
      </c>
      <c r="AS18" s="10" t="s">
        <v>41</v>
      </c>
      <c r="AT18" s="19" t="b">
        <f t="shared" si="8"/>
        <v>0</v>
      </c>
      <c r="AU18" s="18" t="b">
        <f t="shared" si="1"/>
        <v>0</v>
      </c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</row>
    <row r="19" spans="1:84" x14ac:dyDescent="0.25">
      <c r="A19" s="10">
        <v>13</v>
      </c>
      <c r="B19" s="18" t="s">
        <v>129</v>
      </c>
      <c r="C19" s="19" t="s">
        <v>141</v>
      </c>
      <c r="D19" s="10">
        <v>1.99</v>
      </c>
      <c r="E19" s="10"/>
      <c r="F19" s="18" t="s">
        <v>127</v>
      </c>
      <c r="G19" s="10">
        <v>42542</v>
      </c>
      <c r="H19" s="18" t="s">
        <v>127</v>
      </c>
      <c r="I19" s="18" t="s">
        <v>127</v>
      </c>
      <c r="J19" s="10" t="s">
        <v>92</v>
      </c>
      <c r="K19" s="10"/>
      <c r="L19" s="10">
        <v>0</v>
      </c>
      <c r="M19" s="10">
        <v>8</v>
      </c>
      <c r="N19" s="10" t="s">
        <v>93</v>
      </c>
      <c r="O19" s="10" t="s">
        <v>94</v>
      </c>
      <c r="P19" s="10" t="s">
        <v>107</v>
      </c>
      <c r="Q19" s="10" t="s">
        <v>96</v>
      </c>
      <c r="R19" s="10">
        <v>49</v>
      </c>
      <c r="S19" s="10">
        <v>8</v>
      </c>
      <c r="T19" s="10">
        <v>5</v>
      </c>
      <c r="U19" s="10"/>
      <c r="V19" s="10" t="s">
        <v>97</v>
      </c>
      <c r="W19" s="10">
        <v>0</v>
      </c>
      <c r="X19" s="10">
        <v>21</v>
      </c>
      <c r="Y19" s="10" t="s">
        <v>98</v>
      </c>
      <c r="Z19" s="10" t="s">
        <v>97</v>
      </c>
      <c r="AA19" s="10" t="s">
        <v>93</v>
      </c>
      <c r="AB19" s="10" t="s">
        <v>93</v>
      </c>
      <c r="AC19" s="10" t="s">
        <v>93</v>
      </c>
      <c r="AD19" s="10" t="s">
        <v>93</v>
      </c>
      <c r="AE19" s="10" t="s">
        <v>103</v>
      </c>
      <c r="AF19" s="10" t="s">
        <v>97</v>
      </c>
      <c r="AG19" s="10" t="s">
        <v>98</v>
      </c>
      <c r="AH19" s="10"/>
      <c r="AI19" s="10"/>
      <c r="AJ19" s="10">
        <v>204</v>
      </c>
      <c r="AK19" s="29">
        <f t="shared" si="2"/>
        <v>0.38095238095238093</v>
      </c>
      <c r="AL19" s="18" t="b">
        <f t="shared" si="3"/>
        <v>1</v>
      </c>
      <c r="AM19" s="10"/>
      <c r="AN19" s="10"/>
      <c r="AO19" s="18" t="e">
        <f t="shared" si="4"/>
        <v>#DIV/0!</v>
      </c>
      <c r="AP19" s="18" t="e">
        <f t="shared" si="5"/>
        <v>#DIV/0!</v>
      </c>
      <c r="AQ19" s="23" t="b">
        <f t="shared" si="6"/>
        <v>1</v>
      </c>
      <c r="AR19" s="18" t="b">
        <f t="shared" si="7"/>
        <v>0</v>
      </c>
      <c r="AS19" s="10" t="s">
        <v>41</v>
      </c>
      <c r="AT19" s="19" t="b">
        <f t="shared" si="8"/>
        <v>0</v>
      </c>
      <c r="AU19" s="18" t="b">
        <f t="shared" si="1"/>
        <v>1</v>
      </c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</row>
    <row r="20" spans="1:84" x14ac:dyDescent="0.25">
      <c r="A20" s="10">
        <v>14</v>
      </c>
      <c r="B20" s="18" t="s">
        <v>129</v>
      </c>
      <c r="C20" s="19" t="s">
        <v>142</v>
      </c>
      <c r="D20" s="10">
        <v>2.04</v>
      </c>
      <c r="E20" s="10"/>
      <c r="F20" s="18" t="s">
        <v>127</v>
      </c>
      <c r="G20" s="10">
        <v>42542</v>
      </c>
      <c r="H20" s="18" t="s">
        <v>127</v>
      </c>
      <c r="I20" s="18" t="s">
        <v>127</v>
      </c>
      <c r="J20" s="10" t="s">
        <v>92</v>
      </c>
      <c r="K20" s="10"/>
      <c r="L20" s="10">
        <v>0</v>
      </c>
      <c r="M20" s="10">
        <v>12</v>
      </c>
      <c r="N20" s="10" t="s">
        <v>93</v>
      </c>
      <c r="O20" s="10" t="s">
        <v>94</v>
      </c>
      <c r="P20" s="10" t="s">
        <v>107</v>
      </c>
      <c r="Q20" s="10" t="s">
        <v>96</v>
      </c>
      <c r="R20" s="10">
        <v>40</v>
      </c>
      <c r="S20" s="10">
        <v>12</v>
      </c>
      <c r="T20" s="10">
        <v>3</v>
      </c>
      <c r="U20" s="10"/>
      <c r="V20" s="10" t="s">
        <v>97</v>
      </c>
      <c r="W20" s="10">
        <v>0</v>
      </c>
      <c r="X20" s="10">
        <v>21</v>
      </c>
      <c r="Y20" s="10" t="s">
        <v>98</v>
      </c>
      <c r="Z20" s="10" t="s">
        <v>93</v>
      </c>
      <c r="AA20" s="10" t="s">
        <v>97</v>
      </c>
      <c r="AB20" s="10" t="s">
        <v>93</v>
      </c>
      <c r="AC20" s="10" t="s">
        <v>97</v>
      </c>
      <c r="AD20" s="10" t="s">
        <v>97</v>
      </c>
      <c r="AE20" s="10" t="s">
        <v>109</v>
      </c>
      <c r="AF20" s="10" t="s">
        <v>97</v>
      </c>
      <c r="AG20" s="10" t="s">
        <v>100</v>
      </c>
      <c r="AH20" s="10"/>
      <c r="AI20" s="10"/>
      <c r="AJ20" s="10">
        <v>55</v>
      </c>
      <c r="AK20" s="29">
        <f t="shared" si="2"/>
        <v>0.5714285714285714</v>
      </c>
      <c r="AL20" s="18" t="b">
        <f t="shared" si="3"/>
        <v>1</v>
      </c>
      <c r="AM20" s="10"/>
      <c r="AN20" s="10"/>
      <c r="AO20" s="18" t="e">
        <f t="shared" si="4"/>
        <v>#DIV/0!</v>
      </c>
      <c r="AP20" s="18" t="e">
        <f t="shared" si="5"/>
        <v>#DIV/0!</v>
      </c>
      <c r="AQ20" s="23" t="b">
        <f t="shared" si="6"/>
        <v>1</v>
      </c>
      <c r="AR20" s="18" t="b">
        <f t="shared" si="7"/>
        <v>0</v>
      </c>
      <c r="AS20" s="10" t="s">
        <v>41</v>
      </c>
      <c r="AT20" s="19" t="b">
        <f t="shared" si="8"/>
        <v>0</v>
      </c>
      <c r="AU20" s="18" t="b">
        <f t="shared" si="1"/>
        <v>1</v>
      </c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</row>
    <row r="21" spans="1:84" x14ac:dyDescent="0.25">
      <c r="A21" s="10">
        <v>15</v>
      </c>
      <c r="B21" s="18" t="s">
        <v>129</v>
      </c>
      <c r="C21" s="19" t="s">
        <v>143</v>
      </c>
      <c r="D21" s="10">
        <v>2.0499999999999998</v>
      </c>
      <c r="E21" s="10">
        <v>1</v>
      </c>
      <c r="F21" s="18" t="s">
        <v>127</v>
      </c>
      <c r="G21" s="10">
        <v>42542</v>
      </c>
      <c r="H21" s="18" t="s">
        <v>127</v>
      </c>
      <c r="I21" s="18" t="s">
        <v>127</v>
      </c>
      <c r="J21" s="10" t="s">
        <v>92</v>
      </c>
      <c r="K21" s="10">
        <v>2</v>
      </c>
      <c r="L21" s="10">
        <v>0</v>
      </c>
      <c r="M21" s="10">
        <v>12</v>
      </c>
      <c r="N21" s="10" t="s">
        <v>93</v>
      </c>
      <c r="O21" s="10" t="s">
        <v>94</v>
      </c>
      <c r="P21" s="10" t="s">
        <v>110</v>
      </c>
      <c r="Q21" s="10" t="s">
        <v>111</v>
      </c>
      <c r="R21" s="10">
        <v>30</v>
      </c>
      <c r="S21" s="10">
        <v>6</v>
      </c>
      <c r="T21" s="10">
        <v>6</v>
      </c>
      <c r="U21" s="10"/>
      <c r="V21" s="10" t="s">
        <v>97</v>
      </c>
      <c r="W21" s="10">
        <v>0</v>
      </c>
      <c r="X21" s="10">
        <v>21</v>
      </c>
      <c r="Y21" s="10" t="s">
        <v>98</v>
      </c>
      <c r="Z21" s="10" t="s">
        <v>97</v>
      </c>
      <c r="AA21" s="10" t="s">
        <v>97</v>
      </c>
      <c r="AB21" s="10" t="s">
        <v>93</v>
      </c>
      <c r="AC21" s="10" t="s">
        <v>93</v>
      </c>
      <c r="AD21" s="10" t="s">
        <v>97</v>
      </c>
      <c r="AE21" s="10" t="s">
        <v>108</v>
      </c>
      <c r="AF21" s="10" t="s">
        <v>97</v>
      </c>
      <c r="AG21" s="10" t="s">
        <v>105</v>
      </c>
      <c r="AH21" s="10"/>
      <c r="AI21" s="10"/>
      <c r="AJ21" s="10">
        <v>855</v>
      </c>
      <c r="AK21" s="29">
        <f t="shared" si="2"/>
        <v>0.5714285714285714</v>
      </c>
      <c r="AL21" s="18" t="b">
        <f t="shared" si="3"/>
        <v>1</v>
      </c>
      <c r="AM21" s="10"/>
      <c r="AN21" s="10"/>
      <c r="AO21" s="18" t="e">
        <f t="shared" si="4"/>
        <v>#DIV/0!</v>
      </c>
      <c r="AP21" s="18" t="e">
        <f t="shared" si="5"/>
        <v>#DIV/0!</v>
      </c>
      <c r="AQ21" s="23" t="b">
        <f t="shared" si="6"/>
        <v>1</v>
      </c>
      <c r="AR21" s="18" t="b">
        <f t="shared" si="7"/>
        <v>0</v>
      </c>
      <c r="AS21" s="10" t="s">
        <v>41</v>
      </c>
      <c r="AT21" s="19" t="b">
        <f t="shared" si="8"/>
        <v>0</v>
      </c>
      <c r="AU21" s="18" t="b">
        <f t="shared" si="1"/>
        <v>1</v>
      </c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</row>
    <row r="22" spans="1:84" x14ac:dyDescent="0.25">
      <c r="A22" s="10">
        <v>16</v>
      </c>
      <c r="B22" s="18" t="s">
        <v>129</v>
      </c>
      <c r="C22" s="19" t="s">
        <v>144</v>
      </c>
      <c r="D22" s="10">
        <v>2.0499999999999998</v>
      </c>
      <c r="E22" s="10">
        <v>2</v>
      </c>
      <c r="F22" s="18" t="s">
        <v>127</v>
      </c>
      <c r="G22" s="10">
        <v>42542</v>
      </c>
      <c r="H22" s="18" t="s">
        <v>127</v>
      </c>
      <c r="I22" s="18" t="s">
        <v>127</v>
      </c>
      <c r="J22" s="10" t="s">
        <v>92</v>
      </c>
      <c r="K22" s="10">
        <v>2</v>
      </c>
      <c r="L22" s="10">
        <v>0</v>
      </c>
      <c r="M22" s="10">
        <v>12</v>
      </c>
      <c r="N22" s="10" t="s">
        <v>93</v>
      </c>
      <c r="O22" s="10" t="s">
        <v>104</v>
      </c>
      <c r="P22" s="10" t="s">
        <v>110</v>
      </c>
      <c r="Q22" s="10" t="s">
        <v>111</v>
      </c>
      <c r="R22" s="10">
        <v>30</v>
      </c>
      <c r="S22" s="10">
        <v>6</v>
      </c>
      <c r="T22" s="10">
        <v>6</v>
      </c>
      <c r="U22" s="10"/>
      <c r="V22" s="10" t="s">
        <v>97</v>
      </c>
      <c r="W22" s="10">
        <v>0.3</v>
      </c>
      <c r="X22" s="10">
        <v>21</v>
      </c>
      <c r="Y22" s="10" t="s">
        <v>98</v>
      </c>
      <c r="Z22" s="10" t="s">
        <v>97</v>
      </c>
      <c r="AA22" s="10" t="s">
        <v>97</v>
      </c>
      <c r="AB22" s="10" t="s">
        <v>93</v>
      </c>
      <c r="AC22" s="10" t="s">
        <v>93</v>
      </c>
      <c r="AD22" s="10" t="s">
        <v>97</v>
      </c>
      <c r="AE22" s="10" t="s">
        <v>108</v>
      </c>
      <c r="AF22" s="10" t="s">
        <v>97</v>
      </c>
      <c r="AG22" s="10" t="s">
        <v>105</v>
      </c>
      <c r="AH22" s="10"/>
      <c r="AI22" s="10"/>
      <c r="AJ22" s="10">
        <v>855</v>
      </c>
      <c r="AK22" s="29">
        <f t="shared" si="2"/>
        <v>0.5714285714285714</v>
      </c>
      <c r="AL22" s="18" t="b">
        <f t="shared" si="3"/>
        <v>1</v>
      </c>
      <c r="AM22" s="10"/>
      <c r="AN22" s="10"/>
      <c r="AO22" s="18" t="e">
        <f t="shared" si="4"/>
        <v>#DIV/0!</v>
      </c>
      <c r="AP22" s="18" t="e">
        <f t="shared" si="5"/>
        <v>#DIV/0!</v>
      </c>
      <c r="AQ22" s="23" t="b">
        <f t="shared" si="6"/>
        <v>1</v>
      </c>
      <c r="AR22" s="18" t="b">
        <f t="shared" si="7"/>
        <v>0</v>
      </c>
      <c r="AS22" s="10" t="s">
        <v>41</v>
      </c>
      <c r="AT22" s="19" t="b">
        <f t="shared" si="8"/>
        <v>0</v>
      </c>
      <c r="AU22" s="18" t="b">
        <f t="shared" si="1"/>
        <v>1</v>
      </c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</row>
    <row r="23" spans="1:84" x14ac:dyDescent="0.25">
      <c r="A23" s="10">
        <v>17</v>
      </c>
      <c r="B23" s="18" t="s">
        <v>129</v>
      </c>
      <c r="C23" s="19" t="s">
        <v>145</v>
      </c>
      <c r="D23" s="10">
        <v>2.19</v>
      </c>
      <c r="E23" s="10"/>
      <c r="F23" s="18" t="s">
        <v>127</v>
      </c>
      <c r="G23" s="10">
        <v>42542</v>
      </c>
      <c r="H23" s="18" t="s">
        <v>127</v>
      </c>
      <c r="I23" s="18" t="s">
        <v>127</v>
      </c>
      <c r="J23" s="10" t="s">
        <v>101</v>
      </c>
      <c r="K23" s="10"/>
      <c r="L23" s="10">
        <v>0</v>
      </c>
      <c r="M23" s="10">
        <v>18</v>
      </c>
      <c r="N23" s="10" t="s">
        <v>97</v>
      </c>
      <c r="O23" s="10" t="s">
        <v>94</v>
      </c>
      <c r="P23" s="10" t="s">
        <v>102</v>
      </c>
      <c r="Q23" s="10" t="s">
        <v>96</v>
      </c>
      <c r="R23" s="10">
        <v>10</v>
      </c>
      <c r="S23" s="10">
        <v>18</v>
      </c>
      <c r="T23" s="10">
        <v>5</v>
      </c>
      <c r="U23" s="10"/>
      <c r="V23" s="10" t="s">
        <v>97</v>
      </c>
      <c r="W23" s="10">
        <v>0</v>
      </c>
      <c r="X23" s="10">
        <v>19</v>
      </c>
      <c r="Y23" s="10" t="s">
        <v>98</v>
      </c>
      <c r="Z23" s="10" t="s">
        <v>93</v>
      </c>
      <c r="AA23" s="10" t="s">
        <v>93</v>
      </c>
      <c r="AB23" s="10" t="s">
        <v>93</v>
      </c>
      <c r="AC23" s="10" t="s">
        <v>93</v>
      </c>
      <c r="AD23" s="10" t="s">
        <v>93</v>
      </c>
      <c r="AE23" s="10" t="s">
        <v>103</v>
      </c>
      <c r="AF23" s="10" t="s">
        <v>97</v>
      </c>
      <c r="AG23" s="10" t="s">
        <v>100</v>
      </c>
      <c r="AH23" s="10"/>
      <c r="AI23" s="10"/>
      <c r="AJ23" s="10">
        <v>148</v>
      </c>
      <c r="AK23" s="29">
        <f t="shared" si="2"/>
        <v>0.94736842105263153</v>
      </c>
      <c r="AL23" s="18" t="b">
        <f t="shared" si="3"/>
        <v>0</v>
      </c>
      <c r="AM23" s="10"/>
      <c r="AN23" s="10"/>
      <c r="AO23" s="18" t="e">
        <f t="shared" si="4"/>
        <v>#DIV/0!</v>
      </c>
      <c r="AP23" s="18" t="e">
        <f t="shared" si="5"/>
        <v>#DIV/0!</v>
      </c>
      <c r="AQ23" s="23" t="b">
        <f t="shared" si="6"/>
        <v>0</v>
      </c>
      <c r="AR23" s="18" t="b">
        <f t="shared" si="7"/>
        <v>0</v>
      </c>
      <c r="AS23" s="10" t="s">
        <v>41</v>
      </c>
      <c r="AT23" s="19" t="b">
        <f t="shared" si="8"/>
        <v>0</v>
      </c>
      <c r="AU23" s="18" t="b">
        <f t="shared" si="1"/>
        <v>0</v>
      </c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</row>
    <row r="24" spans="1:84" x14ac:dyDescent="0.25">
      <c r="A24" s="10">
        <v>18</v>
      </c>
      <c r="B24" s="18" t="s">
        <v>129</v>
      </c>
      <c r="C24" s="19" t="s">
        <v>146</v>
      </c>
      <c r="D24" s="10">
        <v>2.23</v>
      </c>
      <c r="E24" s="10">
        <v>1</v>
      </c>
      <c r="F24" s="18" t="s">
        <v>127</v>
      </c>
      <c r="G24" s="10">
        <v>42542</v>
      </c>
      <c r="H24" s="18" t="s">
        <v>127</v>
      </c>
      <c r="I24" s="18" t="s">
        <v>127</v>
      </c>
      <c r="J24" s="10" t="s">
        <v>92</v>
      </c>
      <c r="K24" s="10">
        <v>2</v>
      </c>
      <c r="L24" s="10">
        <v>0</v>
      </c>
      <c r="M24" s="10">
        <v>12</v>
      </c>
      <c r="N24" s="10" t="s">
        <v>97</v>
      </c>
      <c r="O24" s="10" t="s">
        <v>94</v>
      </c>
      <c r="P24" s="10" t="s">
        <v>110</v>
      </c>
      <c r="Q24" s="10" t="s">
        <v>111</v>
      </c>
      <c r="R24" s="10">
        <v>61</v>
      </c>
      <c r="S24" s="10">
        <v>6</v>
      </c>
      <c r="T24" s="10">
        <v>6</v>
      </c>
      <c r="U24" s="10"/>
      <c r="V24" s="10" t="s">
        <v>93</v>
      </c>
      <c r="W24" s="10">
        <v>0</v>
      </c>
      <c r="X24" s="10">
        <v>19</v>
      </c>
      <c r="Y24" s="10" t="s">
        <v>98</v>
      </c>
      <c r="Z24" s="10" t="s">
        <v>97</v>
      </c>
      <c r="AA24" s="10" t="s">
        <v>93</v>
      </c>
      <c r="AB24" s="10" t="s">
        <v>93</v>
      </c>
      <c r="AC24" s="10" t="s">
        <v>93</v>
      </c>
      <c r="AD24" s="10" t="s">
        <v>97</v>
      </c>
      <c r="AE24" s="10" t="s">
        <v>112</v>
      </c>
      <c r="AF24" s="10" t="s">
        <v>97</v>
      </c>
      <c r="AG24" s="10" t="s">
        <v>105</v>
      </c>
      <c r="AH24" s="10"/>
      <c r="AI24" s="10"/>
      <c r="AJ24" s="10">
        <v>1130</v>
      </c>
      <c r="AK24" s="29">
        <f t="shared" si="2"/>
        <v>0.63157894736842102</v>
      </c>
      <c r="AL24" s="18" t="b">
        <f t="shared" si="3"/>
        <v>1</v>
      </c>
      <c r="AM24" s="10"/>
      <c r="AN24" s="10"/>
      <c r="AO24" s="18" t="e">
        <f t="shared" si="4"/>
        <v>#DIV/0!</v>
      </c>
      <c r="AP24" s="18" t="e">
        <f t="shared" si="5"/>
        <v>#DIV/0!</v>
      </c>
      <c r="AQ24" s="23" t="b">
        <f t="shared" si="6"/>
        <v>1</v>
      </c>
      <c r="AR24" s="18" t="b">
        <f t="shared" si="7"/>
        <v>0</v>
      </c>
      <c r="AS24" s="10" t="s">
        <v>41</v>
      </c>
      <c r="AT24" s="19" t="b">
        <f t="shared" si="8"/>
        <v>0</v>
      </c>
      <c r="AU24" s="18" t="b">
        <f t="shared" si="1"/>
        <v>1</v>
      </c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</row>
    <row r="25" spans="1:84" x14ac:dyDescent="0.25">
      <c r="A25" s="10">
        <v>19</v>
      </c>
      <c r="B25" s="18" t="s">
        <v>129</v>
      </c>
      <c r="C25" s="19" t="s">
        <v>147</v>
      </c>
      <c r="D25" s="10">
        <v>2.23</v>
      </c>
      <c r="E25" s="10">
        <v>2</v>
      </c>
      <c r="F25" s="18" t="s">
        <v>127</v>
      </c>
      <c r="G25" s="10">
        <v>42542</v>
      </c>
      <c r="H25" s="18" t="s">
        <v>127</v>
      </c>
      <c r="I25" s="18" t="s">
        <v>127</v>
      </c>
      <c r="J25" s="10" t="s">
        <v>92</v>
      </c>
      <c r="K25" s="10">
        <v>2</v>
      </c>
      <c r="L25" s="10">
        <v>0</v>
      </c>
      <c r="M25" s="10">
        <v>12</v>
      </c>
      <c r="N25" s="10" t="s">
        <v>97</v>
      </c>
      <c r="O25" s="10" t="s">
        <v>104</v>
      </c>
      <c r="P25" s="10" t="s">
        <v>110</v>
      </c>
      <c r="Q25" s="10" t="s">
        <v>111</v>
      </c>
      <c r="R25" s="10">
        <v>61</v>
      </c>
      <c r="S25" s="10">
        <v>6</v>
      </c>
      <c r="T25" s="10">
        <v>6</v>
      </c>
      <c r="U25" s="10"/>
      <c r="V25" s="10" t="s">
        <v>97</v>
      </c>
      <c r="W25" s="10">
        <v>0.25</v>
      </c>
      <c r="X25" s="10">
        <v>19</v>
      </c>
      <c r="Y25" s="10" t="s">
        <v>98</v>
      </c>
      <c r="Z25" s="10" t="s">
        <v>97</v>
      </c>
      <c r="AA25" s="10" t="s">
        <v>93</v>
      </c>
      <c r="AB25" s="10" t="s">
        <v>93</v>
      </c>
      <c r="AC25" s="10" t="s">
        <v>93</v>
      </c>
      <c r="AD25" s="10" t="s">
        <v>97</v>
      </c>
      <c r="AE25" s="10" t="s">
        <v>112</v>
      </c>
      <c r="AF25" s="10" t="s">
        <v>97</v>
      </c>
      <c r="AG25" s="10" t="s">
        <v>105</v>
      </c>
      <c r="AH25" s="10"/>
      <c r="AI25" s="10"/>
      <c r="AJ25" s="10">
        <v>1130</v>
      </c>
      <c r="AK25" s="29">
        <f t="shared" si="2"/>
        <v>0.63157894736842102</v>
      </c>
      <c r="AL25" s="18" t="b">
        <f t="shared" si="3"/>
        <v>1</v>
      </c>
      <c r="AM25" s="10"/>
      <c r="AN25" s="10"/>
      <c r="AO25" s="18" t="e">
        <f t="shared" si="4"/>
        <v>#DIV/0!</v>
      </c>
      <c r="AP25" s="18" t="e">
        <f t="shared" si="5"/>
        <v>#DIV/0!</v>
      </c>
      <c r="AQ25" s="23" t="b">
        <f t="shared" si="6"/>
        <v>1</v>
      </c>
      <c r="AR25" s="18" t="b">
        <f t="shared" si="7"/>
        <v>0</v>
      </c>
      <c r="AS25" s="10" t="s">
        <v>41</v>
      </c>
      <c r="AT25" s="19" t="b">
        <f t="shared" si="8"/>
        <v>0</v>
      </c>
      <c r="AU25" s="18" t="b">
        <f t="shared" si="1"/>
        <v>1</v>
      </c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</row>
    <row r="26" spans="1:84" x14ac:dyDescent="0.25">
      <c r="A26" s="10">
        <v>20</v>
      </c>
      <c r="B26" s="18" t="s">
        <v>129</v>
      </c>
      <c r="C26" s="19" t="s">
        <v>148</v>
      </c>
      <c r="D26" s="10">
        <v>2.37</v>
      </c>
      <c r="E26" s="10"/>
      <c r="F26" s="18" t="s">
        <v>127</v>
      </c>
      <c r="G26" s="10">
        <v>42542</v>
      </c>
      <c r="H26" s="18" t="s">
        <v>127</v>
      </c>
      <c r="I26" s="18" t="s">
        <v>127</v>
      </c>
      <c r="J26" s="10" t="s">
        <v>101</v>
      </c>
      <c r="K26" s="10"/>
      <c r="L26" s="10">
        <v>0</v>
      </c>
      <c r="M26" s="10">
        <v>15</v>
      </c>
      <c r="N26" s="10" t="s">
        <v>97</v>
      </c>
      <c r="O26" s="10" t="s">
        <v>94</v>
      </c>
      <c r="P26" s="10" t="s">
        <v>102</v>
      </c>
      <c r="Q26" s="10" t="s">
        <v>96</v>
      </c>
      <c r="R26" s="10">
        <v>25</v>
      </c>
      <c r="S26" s="10">
        <v>15</v>
      </c>
      <c r="T26" s="10">
        <v>6</v>
      </c>
      <c r="U26" s="10"/>
      <c r="V26" s="10" t="s">
        <v>97</v>
      </c>
      <c r="W26" s="10">
        <v>0</v>
      </c>
      <c r="X26" s="10">
        <v>16</v>
      </c>
      <c r="Y26" s="10" t="s">
        <v>98</v>
      </c>
      <c r="Z26" s="10" t="s">
        <v>93</v>
      </c>
      <c r="AA26" s="10" t="s">
        <v>93</v>
      </c>
      <c r="AB26" s="10" t="s">
        <v>93</v>
      </c>
      <c r="AC26" s="10" t="s">
        <v>93</v>
      </c>
      <c r="AD26" s="10" t="s">
        <v>93</v>
      </c>
      <c r="AE26" s="10" t="s">
        <v>109</v>
      </c>
      <c r="AF26" s="10" t="s">
        <v>93</v>
      </c>
      <c r="AG26" s="10" t="s">
        <v>100</v>
      </c>
      <c r="AH26" s="10"/>
      <c r="AI26" s="10"/>
      <c r="AJ26" s="10">
        <v>404</v>
      </c>
      <c r="AK26" s="29">
        <f t="shared" si="2"/>
        <v>0.9375</v>
      </c>
      <c r="AL26" s="18" t="b">
        <f t="shared" si="3"/>
        <v>0</v>
      </c>
      <c r="AM26" s="10"/>
      <c r="AN26" s="10"/>
      <c r="AO26" s="18" t="e">
        <f t="shared" si="4"/>
        <v>#DIV/0!</v>
      </c>
      <c r="AP26" s="18" t="e">
        <f t="shared" si="5"/>
        <v>#DIV/0!</v>
      </c>
      <c r="AQ26" s="23" t="b">
        <f t="shared" si="6"/>
        <v>0</v>
      </c>
      <c r="AR26" s="18" t="b">
        <f t="shared" si="7"/>
        <v>0</v>
      </c>
      <c r="AS26" s="10" t="s">
        <v>41</v>
      </c>
      <c r="AT26" s="19" t="b">
        <f t="shared" si="8"/>
        <v>0</v>
      </c>
      <c r="AU26" s="18" t="b">
        <f t="shared" si="1"/>
        <v>0</v>
      </c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</row>
    <row r="27" spans="1:84" x14ac:dyDescent="0.25">
      <c r="A27" s="10">
        <v>21</v>
      </c>
      <c r="B27" s="18" t="s">
        <v>129</v>
      </c>
      <c r="C27" s="19" t="s">
        <v>149</v>
      </c>
      <c r="D27" s="10">
        <v>2.56</v>
      </c>
      <c r="E27" s="10">
        <v>1</v>
      </c>
      <c r="F27" s="18" t="s">
        <v>127</v>
      </c>
      <c r="G27" s="10">
        <v>42542</v>
      </c>
      <c r="H27" s="18" t="s">
        <v>127</v>
      </c>
      <c r="I27" s="18" t="s">
        <v>127</v>
      </c>
      <c r="J27" s="10" t="s">
        <v>92</v>
      </c>
      <c r="K27" s="10">
        <v>2</v>
      </c>
      <c r="L27" s="10">
        <v>0</v>
      </c>
      <c r="M27" s="10">
        <v>16</v>
      </c>
      <c r="N27" s="10" t="s">
        <v>97</v>
      </c>
      <c r="O27" s="10" t="s">
        <v>94</v>
      </c>
      <c r="P27" s="10" t="s">
        <v>113</v>
      </c>
      <c r="Q27" s="10" t="s">
        <v>111</v>
      </c>
      <c r="R27" s="10">
        <v>40</v>
      </c>
      <c r="S27" s="10">
        <v>8</v>
      </c>
      <c r="T27" s="10">
        <v>6</v>
      </c>
      <c r="U27" s="10"/>
      <c r="V27" s="10" t="s">
        <v>97</v>
      </c>
      <c r="W27" s="10">
        <v>0.2</v>
      </c>
      <c r="X27" s="10">
        <v>23</v>
      </c>
      <c r="Y27" s="10" t="s">
        <v>100</v>
      </c>
      <c r="Z27" s="10" t="s">
        <v>93</v>
      </c>
      <c r="AA27" s="10" t="s">
        <v>93</v>
      </c>
      <c r="AB27" s="10" t="s">
        <v>97</v>
      </c>
      <c r="AC27" s="10" t="s">
        <v>93</v>
      </c>
      <c r="AD27" s="10" t="s">
        <v>97</v>
      </c>
      <c r="AE27" s="10" t="s">
        <v>109</v>
      </c>
      <c r="AF27" s="10" t="s">
        <v>93</v>
      </c>
      <c r="AG27" s="10" t="s">
        <v>100</v>
      </c>
      <c r="AH27" s="10"/>
      <c r="AI27" s="10"/>
      <c r="AJ27" s="10">
        <v>2732</v>
      </c>
      <c r="AK27" s="29">
        <f t="shared" si="2"/>
        <v>0.69565217391304346</v>
      </c>
      <c r="AL27" s="18" t="b">
        <f t="shared" si="3"/>
        <v>1</v>
      </c>
      <c r="AM27" s="10"/>
      <c r="AN27" s="10"/>
      <c r="AO27" s="18" t="e">
        <f t="shared" si="4"/>
        <v>#DIV/0!</v>
      </c>
      <c r="AP27" s="18" t="e">
        <f t="shared" si="5"/>
        <v>#DIV/0!</v>
      </c>
      <c r="AQ27" s="23" t="b">
        <f t="shared" si="6"/>
        <v>1</v>
      </c>
      <c r="AR27" s="18" t="b">
        <f t="shared" si="7"/>
        <v>0</v>
      </c>
      <c r="AS27" s="10" t="s">
        <v>41</v>
      </c>
      <c r="AT27" s="19" t="b">
        <f t="shared" si="8"/>
        <v>0</v>
      </c>
      <c r="AU27" s="18" t="b">
        <f t="shared" si="1"/>
        <v>1</v>
      </c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</row>
    <row r="28" spans="1:84" x14ac:dyDescent="0.25">
      <c r="A28" s="10">
        <v>22</v>
      </c>
      <c r="B28" s="18" t="s">
        <v>129</v>
      </c>
      <c r="C28" s="19" t="s">
        <v>150</v>
      </c>
      <c r="D28" s="10">
        <v>2.56</v>
      </c>
      <c r="E28" s="10">
        <v>2</v>
      </c>
      <c r="F28" s="18" t="s">
        <v>127</v>
      </c>
      <c r="G28" s="10">
        <v>42542</v>
      </c>
      <c r="H28" s="18" t="s">
        <v>127</v>
      </c>
      <c r="I28" s="18" t="s">
        <v>127</v>
      </c>
      <c r="J28" s="10" t="s">
        <v>92</v>
      </c>
      <c r="K28" s="10">
        <v>2</v>
      </c>
      <c r="L28" s="10">
        <v>0</v>
      </c>
      <c r="M28" s="10">
        <v>16</v>
      </c>
      <c r="N28" s="10" t="s">
        <v>97</v>
      </c>
      <c r="O28" s="10" t="s">
        <v>94</v>
      </c>
      <c r="P28" s="10" t="s">
        <v>113</v>
      </c>
      <c r="Q28" s="10" t="s">
        <v>111</v>
      </c>
      <c r="R28" s="10">
        <v>40</v>
      </c>
      <c r="S28" s="10">
        <v>8</v>
      </c>
      <c r="T28" s="10">
        <v>6</v>
      </c>
      <c r="U28" s="10"/>
      <c r="V28" s="10" t="s">
        <v>97</v>
      </c>
      <c r="W28" s="10">
        <v>0</v>
      </c>
      <c r="X28" s="10">
        <v>23</v>
      </c>
      <c r="Y28" s="10" t="s">
        <v>100</v>
      </c>
      <c r="Z28" s="10" t="s">
        <v>93</v>
      </c>
      <c r="AA28" s="10" t="s">
        <v>93</v>
      </c>
      <c r="AB28" s="10" t="s">
        <v>97</v>
      </c>
      <c r="AC28" s="10" t="s">
        <v>93</v>
      </c>
      <c r="AD28" s="10" t="s">
        <v>97</v>
      </c>
      <c r="AE28" s="10" t="s">
        <v>109</v>
      </c>
      <c r="AF28" s="10" t="s">
        <v>93</v>
      </c>
      <c r="AG28" s="10" t="s">
        <v>100</v>
      </c>
      <c r="AH28" s="10"/>
      <c r="AI28" s="10"/>
      <c r="AJ28" s="10">
        <v>2732</v>
      </c>
      <c r="AK28" s="29">
        <f t="shared" si="2"/>
        <v>0.69565217391304346</v>
      </c>
      <c r="AL28" s="18" t="b">
        <f t="shared" si="3"/>
        <v>1</v>
      </c>
      <c r="AM28" s="10"/>
      <c r="AN28" s="10"/>
      <c r="AO28" s="18" t="e">
        <f t="shared" si="4"/>
        <v>#DIV/0!</v>
      </c>
      <c r="AP28" s="18" t="e">
        <f t="shared" si="5"/>
        <v>#DIV/0!</v>
      </c>
      <c r="AQ28" s="23" t="b">
        <f t="shared" si="6"/>
        <v>1</v>
      </c>
      <c r="AR28" s="18" t="b">
        <f t="shared" si="7"/>
        <v>0</v>
      </c>
      <c r="AS28" s="10" t="s">
        <v>41</v>
      </c>
      <c r="AT28" s="19" t="b">
        <f t="shared" si="8"/>
        <v>0</v>
      </c>
      <c r="AU28" s="18" t="b">
        <f t="shared" si="1"/>
        <v>1</v>
      </c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</row>
    <row r="29" spans="1:84" s="6" customFormat="1" x14ac:dyDescent="0.25">
      <c r="A29" s="10">
        <v>23</v>
      </c>
      <c r="B29" s="18" t="s">
        <v>129</v>
      </c>
      <c r="C29" s="19" t="s">
        <v>151</v>
      </c>
      <c r="D29" s="10">
        <v>2.67</v>
      </c>
      <c r="E29" s="10">
        <v>1</v>
      </c>
      <c r="F29" s="18" t="s">
        <v>127</v>
      </c>
      <c r="G29" s="10">
        <v>42544</v>
      </c>
      <c r="H29" s="18" t="s">
        <v>127</v>
      </c>
      <c r="I29" s="18" t="s">
        <v>127</v>
      </c>
      <c r="J29" s="10" t="s">
        <v>92</v>
      </c>
      <c r="K29" s="10">
        <v>3</v>
      </c>
      <c r="L29" s="10">
        <v>0</v>
      </c>
      <c r="M29" s="10">
        <v>16.5</v>
      </c>
      <c r="N29" s="10" t="s">
        <v>97</v>
      </c>
      <c r="O29" s="10" t="s">
        <v>94</v>
      </c>
      <c r="P29" s="10" t="s">
        <v>95</v>
      </c>
      <c r="Q29" s="10" t="s">
        <v>111</v>
      </c>
      <c r="R29" s="10">
        <v>53</v>
      </c>
      <c r="S29" s="10">
        <v>5.5</v>
      </c>
      <c r="T29" s="10">
        <v>5.5</v>
      </c>
      <c r="U29" s="10"/>
      <c r="V29" s="10" t="s">
        <v>93</v>
      </c>
      <c r="W29" s="10">
        <v>0</v>
      </c>
      <c r="X29" s="10">
        <v>19</v>
      </c>
      <c r="Y29" s="10" t="s">
        <v>105</v>
      </c>
      <c r="Z29" s="10" t="s">
        <v>93</v>
      </c>
      <c r="AA29" s="10" t="s">
        <v>93</v>
      </c>
      <c r="AB29" s="10" t="s">
        <v>97</v>
      </c>
      <c r="AC29" s="10" t="s">
        <v>93</v>
      </c>
      <c r="AD29" s="10" t="s">
        <v>97</v>
      </c>
      <c r="AE29" s="10" t="s">
        <v>109</v>
      </c>
      <c r="AF29" s="10" t="s">
        <v>97</v>
      </c>
      <c r="AG29" s="10" t="s">
        <v>98</v>
      </c>
      <c r="AH29" s="10"/>
      <c r="AI29" s="10"/>
      <c r="AJ29" s="10">
        <v>2115</v>
      </c>
      <c r="AK29" s="29">
        <f t="shared" si="2"/>
        <v>0.86842105263157898</v>
      </c>
      <c r="AL29" s="18" t="b">
        <f t="shared" si="3"/>
        <v>0</v>
      </c>
      <c r="AM29" s="10"/>
      <c r="AN29" s="10"/>
      <c r="AO29" s="18" t="e">
        <f t="shared" si="4"/>
        <v>#DIV/0!</v>
      </c>
      <c r="AP29" s="18" t="e">
        <f t="shared" si="5"/>
        <v>#DIV/0!</v>
      </c>
      <c r="AQ29" s="23" t="b">
        <f t="shared" si="6"/>
        <v>1</v>
      </c>
      <c r="AR29" s="18" t="b">
        <f t="shared" si="7"/>
        <v>0</v>
      </c>
      <c r="AS29" s="10" t="s">
        <v>42</v>
      </c>
      <c r="AT29" s="19" t="b">
        <f t="shared" si="8"/>
        <v>0</v>
      </c>
      <c r="AU29" s="18" t="b">
        <f t="shared" si="1"/>
        <v>1</v>
      </c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s="6" customFormat="1" x14ac:dyDescent="0.25">
      <c r="A30" s="10">
        <v>24</v>
      </c>
      <c r="B30" s="18" t="s">
        <v>129</v>
      </c>
      <c r="C30" s="19" t="s">
        <v>152</v>
      </c>
      <c r="D30" s="10">
        <v>2.67</v>
      </c>
      <c r="E30" s="10">
        <v>2</v>
      </c>
      <c r="F30" s="18" t="s">
        <v>127</v>
      </c>
      <c r="G30" s="10">
        <v>42544</v>
      </c>
      <c r="H30" s="18" t="s">
        <v>127</v>
      </c>
      <c r="I30" s="18" t="s">
        <v>127</v>
      </c>
      <c r="J30" s="10" t="s">
        <v>92</v>
      </c>
      <c r="K30" s="10">
        <v>3</v>
      </c>
      <c r="L30" s="10">
        <v>0</v>
      </c>
      <c r="M30" s="10">
        <v>16.5</v>
      </c>
      <c r="N30" s="10" t="s">
        <v>97</v>
      </c>
      <c r="O30" s="10" t="s">
        <v>94</v>
      </c>
      <c r="P30" s="10" t="s">
        <v>95</v>
      </c>
      <c r="Q30" s="10" t="s">
        <v>111</v>
      </c>
      <c r="R30" s="10">
        <v>53</v>
      </c>
      <c r="S30" s="10">
        <v>5.5</v>
      </c>
      <c r="T30" s="10">
        <v>5.5</v>
      </c>
      <c r="U30" s="10"/>
      <c r="V30" s="10" t="s">
        <v>93</v>
      </c>
      <c r="W30" s="10">
        <v>0</v>
      </c>
      <c r="X30" s="10">
        <v>19</v>
      </c>
      <c r="Y30" s="10" t="s">
        <v>105</v>
      </c>
      <c r="Z30" s="10" t="s">
        <v>93</v>
      </c>
      <c r="AA30" s="10" t="s">
        <v>93</v>
      </c>
      <c r="AB30" s="10" t="s">
        <v>97</v>
      </c>
      <c r="AC30" s="10" t="s">
        <v>93</v>
      </c>
      <c r="AD30" s="10" t="s">
        <v>97</v>
      </c>
      <c r="AE30" s="10" t="s">
        <v>109</v>
      </c>
      <c r="AF30" s="10" t="s">
        <v>97</v>
      </c>
      <c r="AG30" s="10" t="s">
        <v>98</v>
      </c>
      <c r="AH30" s="10"/>
      <c r="AI30" s="10"/>
      <c r="AJ30" s="10">
        <v>2115</v>
      </c>
      <c r="AK30" s="29">
        <f t="shared" si="2"/>
        <v>0.86842105263157898</v>
      </c>
      <c r="AL30" s="18" t="b">
        <f t="shared" si="3"/>
        <v>0</v>
      </c>
      <c r="AM30" s="10"/>
      <c r="AN30" s="10"/>
      <c r="AO30" s="18" t="e">
        <f t="shared" si="4"/>
        <v>#DIV/0!</v>
      </c>
      <c r="AP30" s="18" t="e">
        <f t="shared" si="5"/>
        <v>#DIV/0!</v>
      </c>
      <c r="AQ30" s="23" t="b">
        <f t="shared" si="6"/>
        <v>1</v>
      </c>
      <c r="AR30" s="18" t="b">
        <f t="shared" si="7"/>
        <v>0</v>
      </c>
      <c r="AS30" s="10" t="s">
        <v>42</v>
      </c>
      <c r="AT30" s="19" t="b">
        <f t="shared" si="8"/>
        <v>0</v>
      </c>
      <c r="AU30" s="18" t="b">
        <f t="shared" si="1"/>
        <v>1</v>
      </c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s="6" customFormat="1" x14ac:dyDescent="0.25">
      <c r="A31" s="10">
        <v>25</v>
      </c>
      <c r="B31" s="18" t="s">
        <v>129</v>
      </c>
      <c r="C31" s="19" t="s">
        <v>153</v>
      </c>
      <c r="D31" s="10">
        <v>2.67</v>
      </c>
      <c r="E31" s="10">
        <v>3</v>
      </c>
      <c r="F31" s="18" t="s">
        <v>127</v>
      </c>
      <c r="G31" s="10">
        <v>42544</v>
      </c>
      <c r="H31" s="18" t="s">
        <v>127</v>
      </c>
      <c r="I31" s="18" t="s">
        <v>127</v>
      </c>
      <c r="J31" s="10" t="s">
        <v>92</v>
      </c>
      <c r="K31" s="10">
        <v>3</v>
      </c>
      <c r="L31" s="10">
        <v>0</v>
      </c>
      <c r="M31" s="10">
        <v>16.5</v>
      </c>
      <c r="N31" s="10" t="s">
        <v>97</v>
      </c>
      <c r="O31" s="10" t="s">
        <v>94</v>
      </c>
      <c r="P31" s="10" t="s">
        <v>95</v>
      </c>
      <c r="Q31" s="10" t="s">
        <v>111</v>
      </c>
      <c r="R31" s="10">
        <v>53</v>
      </c>
      <c r="S31" s="10">
        <v>5.5</v>
      </c>
      <c r="T31" s="10">
        <v>5.5</v>
      </c>
      <c r="U31" s="10"/>
      <c r="V31" s="10" t="s">
        <v>93</v>
      </c>
      <c r="W31" s="10">
        <v>0</v>
      </c>
      <c r="X31" s="10">
        <v>19</v>
      </c>
      <c r="Y31" s="10" t="s">
        <v>105</v>
      </c>
      <c r="Z31" s="10" t="s">
        <v>93</v>
      </c>
      <c r="AA31" s="10" t="s">
        <v>93</v>
      </c>
      <c r="AB31" s="10" t="s">
        <v>97</v>
      </c>
      <c r="AC31" s="10" t="s">
        <v>93</v>
      </c>
      <c r="AD31" s="10" t="s">
        <v>97</v>
      </c>
      <c r="AE31" s="10" t="s">
        <v>109</v>
      </c>
      <c r="AF31" s="10" t="s">
        <v>97</v>
      </c>
      <c r="AG31" s="10" t="s">
        <v>98</v>
      </c>
      <c r="AH31" s="10"/>
      <c r="AI31" s="10"/>
      <c r="AJ31" s="10">
        <v>2115</v>
      </c>
      <c r="AK31" s="29">
        <f t="shared" si="2"/>
        <v>0.86842105263157898</v>
      </c>
      <c r="AL31" s="18" t="b">
        <f t="shared" si="3"/>
        <v>0</v>
      </c>
      <c r="AM31" s="10"/>
      <c r="AN31" s="10"/>
      <c r="AO31" s="18" t="e">
        <f t="shared" si="4"/>
        <v>#DIV/0!</v>
      </c>
      <c r="AP31" s="18" t="e">
        <f t="shared" si="5"/>
        <v>#DIV/0!</v>
      </c>
      <c r="AQ31" s="23" t="b">
        <f t="shared" si="6"/>
        <v>1</v>
      </c>
      <c r="AR31" s="18" t="b">
        <f t="shared" si="7"/>
        <v>0</v>
      </c>
      <c r="AS31" s="10" t="s">
        <v>42</v>
      </c>
      <c r="AT31" s="19" t="b">
        <f t="shared" si="8"/>
        <v>0</v>
      </c>
      <c r="AU31" s="18" t="b">
        <f t="shared" si="1"/>
        <v>1</v>
      </c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x14ac:dyDescent="0.25">
      <c r="A32" s="10">
        <v>26</v>
      </c>
      <c r="B32" s="18" t="s">
        <v>129</v>
      </c>
      <c r="C32" s="19" t="s">
        <v>154</v>
      </c>
      <c r="D32" s="10">
        <v>2.76</v>
      </c>
      <c r="E32" s="10">
        <v>1</v>
      </c>
      <c r="F32" s="18" t="s">
        <v>127</v>
      </c>
      <c r="G32" s="10">
        <v>42544</v>
      </c>
      <c r="H32" s="18" t="s">
        <v>127</v>
      </c>
      <c r="I32" s="18" t="s">
        <v>127</v>
      </c>
      <c r="J32" s="10" t="s">
        <v>92</v>
      </c>
      <c r="K32" s="10">
        <v>2</v>
      </c>
      <c r="L32" s="10">
        <v>0</v>
      </c>
      <c r="M32" s="10">
        <v>20</v>
      </c>
      <c r="N32" s="10" t="s">
        <v>97</v>
      </c>
      <c r="O32" s="10" t="s">
        <v>94</v>
      </c>
      <c r="P32" s="10" t="s">
        <v>107</v>
      </c>
      <c r="Q32" s="10" t="s">
        <v>96</v>
      </c>
      <c r="R32" s="10">
        <v>27</v>
      </c>
      <c r="S32" s="10">
        <v>10</v>
      </c>
      <c r="T32" s="10">
        <v>3</v>
      </c>
      <c r="U32" s="10"/>
      <c r="V32" s="10" t="s">
        <v>97</v>
      </c>
      <c r="W32" s="10">
        <v>0</v>
      </c>
      <c r="X32" s="10">
        <v>23</v>
      </c>
      <c r="Y32" s="10" t="s">
        <v>105</v>
      </c>
      <c r="Z32" s="10" t="s">
        <v>93</v>
      </c>
      <c r="AA32" s="10" t="s">
        <v>93</v>
      </c>
      <c r="AB32" s="10" t="s">
        <v>97</v>
      </c>
      <c r="AC32" s="10" t="s">
        <v>93</v>
      </c>
      <c r="AD32" s="10" t="s">
        <v>93</v>
      </c>
      <c r="AE32" s="10" t="s">
        <v>103</v>
      </c>
      <c r="AF32" s="10" t="s">
        <v>97</v>
      </c>
      <c r="AG32" s="10" t="s">
        <v>98</v>
      </c>
      <c r="AH32" s="10"/>
      <c r="AI32" s="10"/>
      <c r="AJ32" s="10">
        <v>1670</v>
      </c>
      <c r="AK32" s="29">
        <f t="shared" si="2"/>
        <v>0.86956521739130432</v>
      </c>
      <c r="AL32" s="18" t="b">
        <f t="shared" si="3"/>
        <v>0</v>
      </c>
      <c r="AM32" s="10"/>
      <c r="AN32" s="10"/>
      <c r="AO32" s="18" t="e">
        <f t="shared" si="4"/>
        <v>#DIV/0!</v>
      </c>
      <c r="AP32" s="18" t="e">
        <f t="shared" si="5"/>
        <v>#DIV/0!</v>
      </c>
      <c r="AQ32" s="23" t="b">
        <f t="shared" si="6"/>
        <v>0</v>
      </c>
      <c r="AR32" s="18" t="b">
        <f t="shared" si="7"/>
        <v>0</v>
      </c>
      <c r="AS32" s="10" t="s">
        <v>42</v>
      </c>
      <c r="AT32" s="19" t="b">
        <f t="shared" si="8"/>
        <v>0</v>
      </c>
      <c r="AU32" s="18" t="b">
        <f t="shared" si="1"/>
        <v>0</v>
      </c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</row>
    <row r="33" spans="1:84" x14ac:dyDescent="0.25">
      <c r="A33" s="10">
        <v>27</v>
      </c>
      <c r="B33" s="18" t="s">
        <v>129</v>
      </c>
      <c r="C33" s="19" t="s">
        <v>155</v>
      </c>
      <c r="D33" s="10">
        <v>2.76</v>
      </c>
      <c r="E33" s="10">
        <v>2</v>
      </c>
      <c r="F33" s="18" t="s">
        <v>127</v>
      </c>
      <c r="G33" s="10">
        <v>42544</v>
      </c>
      <c r="H33" s="18" t="s">
        <v>127</v>
      </c>
      <c r="I33" s="18" t="s">
        <v>127</v>
      </c>
      <c r="J33" s="10" t="s">
        <v>92</v>
      </c>
      <c r="K33" s="10">
        <v>2</v>
      </c>
      <c r="L33" s="10">
        <v>0</v>
      </c>
      <c r="M33" s="10">
        <v>20</v>
      </c>
      <c r="N33" s="10" t="s">
        <v>97</v>
      </c>
      <c r="O33" s="10" t="s">
        <v>94</v>
      </c>
      <c r="P33" s="10" t="s">
        <v>107</v>
      </c>
      <c r="Q33" s="10" t="s">
        <v>96</v>
      </c>
      <c r="R33" s="10">
        <v>27</v>
      </c>
      <c r="S33" s="10">
        <v>10</v>
      </c>
      <c r="T33" s="10">
        <v>3</v>
      </c>
      <c r="U33" s="10"/>
      <c r="V33" s="10" t="s">
        <v>97</v>
      </c>
      <c r="W33" s="10">
        <v>0.2</v>
      </c>
      <c r="X33" s="10">
        <v>23</v>
      </c>
      <c r="Y33" s="10" t="s">
        <v>105</v>
      </c>
      <c r="Z33" s="10" t="s">
        <v>93</v>
      </c>
      <c r="AA33" s="10" t="s">
        <v>93</v>
      </c>
      <c r="AB33" s="10" t="s">
        <v>97</v>
      </c>
      <c r="AC33" s="10" t="s">
        <v>93</v>
      </c>
      <c r="AD33" s="10" t="s">
        <v>93</v>
      </c>
      <c r="AE33" s="10" t="s">
        <v>103</v>
      </c>
      <c r="AF33" s="10" t="s">
        <v>97</v>
      </c>
      <c r="AG33" s="10" t="s">
        <v>98</v>
      </c>
      <c r="AH33" s="10"/>
      <c r="AI33" s="10"/>
      <c r="AJ33" s="10">
        <v>1670</v>
      </c>
      <c r="AK33" s="29">
        <f t="shared" si="2"/>
        <v>0.86956521739130432</v>
      </c>
      <c r="AL33" s="18" t="b">
        <f t="shared" si="3"/>
        <v>0</v>
      </c>
      <c r="AM33" s="10"/>
      <c r="AN33" s="10"/>
      <c r="AO33" s="18" t="e">
        <f t="shared" si="4"/>
        <v>#DIV/0!</v>
      </c>
      <c r="AP33" s="18" t="e">
        <f t="shared" si="5"/>
        <v>#DIV/0!</v>
      </c>
      <c r="AQ33" s="23" t="b">
        <f t="shared" si="6"/>
        <v>0</v>
      </c>
      <c r="AR33" s="18" t="b">
        <f t="shared" si="7"/>
        <v>0</v>
      </c>
      <c r="AS33" s="10" t="s">
        <v>42</v>
      </c>
      <c r="AT33" s="19" t="b">
        <f t="shared" si="8"/>
        <v>0</v>
      </c>
      <c r="AU33" s="18" t="b">
        <f t="shared" si="1"/>
        <v>0</v>
      </c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</row>
    <row r="34" spans="1:84" x14ac:dyDescent="0.25">
      <c r="A34" s="10">
        <v>28</v>
      </c>
      <c r="B34" s="18" t="s">
        <v>129</v>
      </c>
      <c r="C34" s="19" t="s">
        <v>156</v>
      </c>
      <c r="D34" s="10">
        <v>2.78</v>
      </c>
      <c r="E34" s="10"/>
      <c r="F34" s="18" t="s">
        <v>127</v>
      </c>
      <c r="G34" s="10">
        <v>42544</v>
      </c>
      <c r="H34" s="18" t="s">
        <v>127</v>
      </c>
      <c r="I34" s="18" t="s">
        <v>127</v>
      </c>
      <c r="J34" s="10" t="s">
        <v>92</v>
      </c>
      <c r="K34" s="10"/>
      <c r="L34" s="10">
        <v>0</v>
      </c>
      <c r="M34" s="10">
        <v>10</v>
      </c>
      <c r="N34" s="10" t="s">
        <v>97</v>
      </c>
      <c r="O34" s="10" t="s">
        <v>94</v>
      </c>
      <c r="P34" s="10" t="s">
        <v>107</v>
      </c>
      <c r="Q34" s="10" t="s">
        <v>96</v>
      </c>
      <c r="R34" s="10">
        <v>24</v>
      </c>
      <c r="S34" s="10">
        <v>10</v>
      </c>
      <c r="T34" s="10">
        <v>4</v>
      </c>
      <c r="U34" s="10"/>
      <c r="V34" s="10" t="s">
        <v>97</v>
      </c>
      <c r="W34" s="10">
        <v>0.1</v>
      </c>
      <c r="X34" s="10">
        <v>17</v>
      </c>
      <c r="Y34" s="10" t="s">
        <v>105</v>
      </c>
      <c r="Z34" s="10" t="s">
        <v>93</v>
      </c>
      <c r="AA34" s="10" t="s">
        <v>93</v>
      </c>
      <c r="AB34" s="10" t="s">
        <v>97</v>
      </c>
      <c r="AC34" s="10" t="s">
        <v>93</v>
      </c>
      <c r="AD34" s="10" t="s">
        <v>93</v>
      </c>
      <c r="AE34" s="10" t="s">
        <v>103</v>
      </c>
      <c r="AF34" s="10" t="s">
        <v>97</v>
      </c>
      <c r="AG34" s="10" t="s">
        <v>98</v>
      </c>
      <c r="AH34" s="10"/>
      <c r="AI34" s="10"/>
      <c r="AJ34" s="10">
        <v>1564</v>
      </c>
      <c r="AK34" s="29">
        <f t="shared" si="2"/>
        <v>0.58823529411764708</v>
      </c>
      <c r="AL34" s="18" t="b">
        <f t="shared" si="3"/>
        <v>1</v>
      </c>
      <c r="AM34" s="10"/>
      <c r="AN34" s="10"/>
      <c r="AO34" s="18" t="e">
        <f t="shared" si="4"/>
        <v>#DIV/0!</v>
      </c>
      <c r="AP34" s="18" t="e">
        <f t="shared" si="5"/>
        <v>#DIV/0!</v>
      </c>
      <c r="AQ34" s="23" t="b">
        <f t="shared" si="6"/>
        <v>1</v>
      </c>
      <c r="AR34" s="18" t="b">
        <f t="shared" si="7"/>
        <v>0</v>
      </c>
      <c r="AS34" s="10" t="s">
        <v>42</v>
      </c>
      <c r="AT34" s="19" t="b">
        <f t="shared" si="8"/>
        <v>0</v>
      </c>
      <c r="AU34" s="18" t="b">
        <f t="shared" si="1"/>
        <v>1</v>
      </c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</row>
    <row r="35" spans="1:84" x14ac:dyDescent="0.25">
      <c r="A35" s="10">
        <v>29</v>
      </c>
      <c r="B35" s="18" t="s">
        <v>129</v>
      </c>
      <c r="C35" s="19" t="s">
        <v>157</v>
      </c>
      <c r="D35" s="10">
        <v>2.8299999999999996</v>
      </c>
      <c r="E35" s="10"/>
      <c r="F35" s="18" t="s">
        <v>127</v>
      </c>
      <c r="G35" s="10">
        <v>42544</v>
      </c>
      <c r="H35" s="18" t="s">
        <v>127</v>
      </c>
      <c r="I35" s="18" t="s">
        <v>127</v>
      </c>
      <c r="J35" s="10" t="s">
        <v>101</v>
      </c>
      <c r="K35" s="10"/>
      <c r="L35" s="10">
        <v>0</v>
      </c>
      <c r="M35" s="10">
        <v>12</v>
      </c>
      <c r="N35" s="10" t="s">
        <v>93</v>
      </c>
      <c r="O35" s="10" t="s">
        <v>94</v>
      </c>
      <c r="P35" s="10" t="s">
        <v>102</v>
      </c>
      <c r="Q35" s="10" t="s">
        <v>106</v>
      </c>
      <c r="R35" s="10">
        <v>12</v>
      </c>
      <c r="S35" s="10">
        <v>12</v>
      </c>
      <c r="T35" s="10">
        <v>4.5</v>
      </c>
      <c r="U35" s="10"/>
      <c r="V35" s="10" t="s">
        <v>97</v>
      </c>
      <c r="W35" s="10">
        <v>0</v>
      </c>
      <c r="X35" s="10">
        <v>17</v>
      </c>
      <c r="Y35" s="10" t="s">
        <v>105</v>
      </c>
      <c r="Z35" s="10" t="s">
        <v>93</v>
      </c>
      <c r="AA35" s="10" t="s">
        <v>93</v>
      </c>
      <c r="AB35" s="10" t="s">
        <v>93</v>
      </c>
      <c r="AC35" s="10" t="s">
        <v>93</v>
      </c>
      <c r="AD35" s="10" t="s">
        <v>93</v>
      </c>
      <c r="AE35" s="10" t="s">
        <v>103</v>
      </c>
      <c r="AF35" s="10" t="s">
        <v>97</v>
      </c>
      <c r="AG35" s="10" t="s">
        <v>105</v>
      </c>
      <c r="AH35" s="10"/>
      <c r="AI35" s="10"/>
      <c r="AJ35" s="10">
        <v>1354</v>
      </c>
      <c r="AK35" s="29">
        <f t="shared" si="2"/>
        <v>0.70588235294117652</v>
      </c>
      <c r="AL35" s="18" t="b">
        <f t="shared" si="3"/>
        <v>1</v>
      </c>
      <c r="AM35" s="10"/>
      <c r="AN35" s="10"/>
      <c r="AO35" s="18" t="e">
        <f t="shared" si="4"/>
        <v>#DIV/0!</v>
      </c>
      <c r="AP35" s="18" t="e">
        <f t="shared" si="5"/>
        <v>#DIV/0!</v>
      </c>
      <c r="AQ35" s="23" t="b">
        <f t="shared" si="6"/>
        <v>1</v>
      </c>
      <c r="AR35" s="18" t="b">
        <f t="shared" si="7"/>
        <v>0</v>
      </c>
      <c r="AS35" s="10" t="s">
        <v>42</v>
      </c>
      <c r="AT35" s="19" t="b">
        <f t="shared" si="8"/>
        <v>0</v>
      </c>
      <c r="AU35" s="18" t="b">
        <f t="shared" si="1"/>
        <v>1</v>
      </c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</row>
    <row r="36" spans="1:84" x14ac:dyDescent="0.25">
      <c r="A36" s="10">
        <v>30</v>
      </c>
      <c r="B36" s="18" t="s">
        <v>129</v>
      </c>
      <c r="C36" s="19" t="s">
        <v>158</v>
      </c>
      <c r="D36" s="10">
        <v>3.13</v>
      </c>
      <c r="E36" s="10">
        <v>1</v>
      </c>
      <c r="F36" s="18" t="s">
        <v>127</v>
      </c>
      <c r="G36" s="10">
        <v>42544</v>
      </c>
      <c r="H36" s="18" t="s">
        <v>127</v>
      </c>
      <c r="I36" s="18" t="s">
        <v>127</v>
      </c>
      <c r="J36" s="10" t="s">
        <v>92</v>
      </c>
      <c r="K36" s="10">
        <v>2</v>
      </c>
      <c r="L36" s="10">
        <v>1</v>
      </c>
      <c r="M36" s="10">
        <v>20</v>
      </c>
      <c r="N36" s="10" t="s">
        <v>93</v>
      </c>
      <c r="O36" s="10" t="s">
        <v>94</v>
      </c>
      <c r="P36" s="10" t="s">
        <v>113</v>
      </c>
      <c r="Q36" s="10" t="s">
        <v>111</v>
      </c>
      <c r="R36" s="10">
        <v>37</v>
      </c>
      <c r="S36" s="10">
        <v>10</v>
      </c>
      <c r="T36" s="10">
        <v>6</v>
      </c>
      <c r="U36" s="10"/>
      <c r="V36" s="10" t="s">
        <v>93</v>
      </c>
      <c r="W36" s="10">
        <v>0.5</v>
      </c>
      <c r="X36" s="10">
        <v>20</v>
      </c>
      <c r="Y36" s="10" t="s">
        <v>98</v>
      </c>
      <c r="Z36" s="10" t="s">
        <v>97</v>
      </c>
      <c r="AA36" s="10" t="s">
        <v>93</v>
      </c>
      <c r="AB36" s="10" t="s">
        <v>93</v>
      </c>
      <c r="AC36" s="10" t="s">
        <v>97</v>
      </c>
      <c r="AD36" s="10" t="s">
        <v>97</v>
      </c>
      <c r="AE36" s="10" t="s">
        <v>114</v>
      </c>
      <c r="AF36" s="10" t="s">
        <v>97</v>
      </c>
      <c r="AG36" s="10" t="s">
        <v>98</v>
      </c>
      <c r="AH36" s="10"/>
      <c r="AI36" s="10"/>
      <c r="AJ36" s="10">
        <v>3176</v>
      </c>
      <c r="AK36" s="29">
        <f t="shared" si="2"/>
        <v>1</v>
      </c>
      <c r="AL36" s="18" t="b">
        <f t="shared" si="3"/>
        <v>0</v>
      </c>
      <c r="AM36" s="10"/>
      <c r="AN36" s="10"/>
      <c r="AO36" s="18" t="e">
        <f t="shared" si="4"/>
        <v>#DIV/0!</v>
      </c>
      <c r="AP36" s="18" t="e">
        <f t="shared" si="5"/>
        <v>#DIV/0!</v>
      </c>
      <c r="AQ36" s="23" t="b">
        <f t="shared" si="6"/>
        <v>1</v>
      </c>
      <c r="AR36" s="18" t="b">
        <f t="shared" si="7"/>
        <v>0</v>
      </c>
      <c r="AS36" s="10" t="s">
        <v>42</v>
      </c>
      <c r="AT36" s="19" t="b">
        <f t="shared" si="8"/>
        <v>0</v>
      </c>
      <c r="AU36" s="18" t="b">
        <f t="shared" si="1"/>
        <v>1</v>
      </c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</row>
    <row r="37" spans="1:84" x14ac:dyDescent="0.25">
      <c r="A37" s="10">
        <v>31</v>
      </c>
      <c r="B37" s="18" t="s">
        <v>129</v>
      </c>
      <c r="C37" s="19" t="s">
        <v>159</v>
      </c>
      <c r="D37" s="10">
        <v>3.13</v>
      </c>
      <c r="E37" s="10">
        <v>2</v>
      </c>
      <c r="F37" s="18" t="s">
        <v>127</v>
      </c>
      <c r="G37" s="10">
        <v>42544</v>
      </c>
      <c r="H37" s="18" t="s">
        <v>127</v>
      </c>
      <c r="I37" s="18" t="s">
        <v>127</v>
      </c>
      <c r="J37" s="10" t="s">
        <v>92</v>
      </c>
      <c r="K37" s="10">
        <v>2</v>
      </c>
      <c r="L37" s="10">
        <v>1</v>
      </c>
      <c r="M37" s="10">
        <v>20</v>
      </c>
      <c r="N37" s="10" t="s">
        <v>93</v>
      </c>
      <c r="O37" s="10" t="s">
        <v>104</v>
      </c>
      <c r="P37" s="10" t="s">
        <v>113</v>
      </c>
      <c r="Q37" s="10" t="s">
        <v>111</v>
      </c>
      <c r="R37" s="10">
        <v>37</v>
      </c>
      <c r="S37" s="10">
        <v>10</v>
      </c>
      <c r="T37" s="10">
        <v>6</v>
      </c>
      <c r="U37" s="10"/>
      <c r="V37" s="10" t="s">
        <v>93</v>
      </c>
      <c r="W37" s="10">
        <v>0.75</v>
      </c>
      <c r="X37" s="10">
        <v>20</v>
      </c>
      <c r="Y37" s="10" t="s">
        <v>98</v>
      </c>
      <c r="Z37" s="10" t="s">
        <v>97</v>
      </c>
      <c r="AA37" s="10" t="s">
        <v>93</v>
      </c>
      <c r="AB37" s="10" t="s">
        <v>93</v>
      </c>
      <c r="AC37" s="10" t="s">
        <v>97</v>
      </c>
      <c r="AD37" s="10" t="s">
        <v>97</v>
      </c>
      <c r="AE37" s="10" t="s">
        <v>114</v>
      </c>
      <c r="AF37" s="10" t="s">
        <v>97</v>
      </c>
      <c r="AG37" s="10" t="s">
        <v>98</v>
      </c>
      <c r="AH37" s="10"/>
      <c r="AI37" s="10"/>
      <c r="AJ37" s="10">
        <v>3176</v>
      </c>
      <c r="AK37" s="29">
        <f t="shared" si="2"/>
        <v>1</v>
      </c>
      <c r="AL37" s="18" t="b">
        <f t="shared" si="3"/>
        <v>0</v>
      </c>
      <c r="AM37" s="10"/>
      <c r="AN37" s="10"/>
      <c r="AO37" s="18" t="e">
        <f t="shared" si="4"/>
        <v>#DIV/0!</v>
      </c>
      <c r="AP37" s="18" t="e">
        <f t="shared" si="5"/>
        <v>#DIV/0!</v>
      </c>
      <c r="AQ37" s="23" t="b">
        <f t="shared" si="6"/>
        <v>1</v>
      </c>
      <c r="AR37" s="18" t="b">
        <f t="shared" si="7"/>
        <v>0</v>
      </c>
      <c r="AS37" s="10" t="s">
        <v>42</v>
      </c>
      <c r="AT37" s="19" t="b">
        <f t="shared" si="8"/>
        <v>0</v>
      </c>
      <c r="AU37" s="18" t="b">
        <f t="shared" si="1"/>
        <v>1</v>
      </c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</row>
    <row r="38" spans="1:84" x14ac:dyDescent="0.25">
      <c r="A38" s="10">
        <v>32</v>
      </c>
      <c r="B38" s="18" t="s">
        <v>129</v>
      </c>
      <c r="C38" s="19" t="s">
        <v>160</v>
      </c>
      <c r="D38" s="10">
        <v>3.57</v>
      </c>
      <c r="E38" s="10">
        <v>1</v>
      </c>
      <c r="F38" s="18" t="s">
        <v>127</v>
      </c>
      <c r="G38" s="10">
        <v>42544</v>
      </c>
      <c r="H38" s="18" t="s">
        <v>127</v>
      </c>
      <c r="I38" s="18" t="s">
        <v>127</v>
      </c>
      <c r="J38" s="10" t="s">
        <v>92</v>
      </c>
      <c r="K38" s="10">
        <v>2</v>
      </c>
      <c r="L38" s="10">
        <v>0.7</v>
      </c>
      <c r="M38" s="10">
        <v>9</v>
      </c>
      <c r="N38" s="10" t="s">
        <v>97</v>
      </c>
      <c r="O38" s="10" t="s">
        <v>94</v>
      </c>
      <c r="P38" s="10" t="s">
        <v>110</v>
      </c>
      <c r="Q38" s="10" t="s">
        <v>96</v>
      </c>
      <c r="R38" s="10">
        <v>48</v>
      </c>
      <c r="S38" s="10">
        <v>4.5</v>
      </c>
      <c r="T38" s="10">
        <v>4.5</v>
      </c>
      <c r="U38" s="10"/>
      <c r="V38" s="10" t="s">
        <v>93</v>
      </c>
      <c r="W38" s="10">
        <v>0</v>
      </c>
      <c r="X38" s="10">
        <v>20</v>
      </c>
      <c r="Y38" s="10" t="s">
        <v>105</v>
      </c>
      <c r="Z38" s="10" t="s">
        <v>93</v>
      </c>
      <c r="AA38" s="10" t="s">
        <v>93</v>
      </c>
      <c r="AB38" s="10" t="s">
        <v>93</v>
      </c>
      <c r="AC38" s="10" t="s">
        <v>93</v>
      </c>
      <c r="AD38" s="10" t="s">
        <v>97</v>
      </c>
      <c r="AE38" s="10" t="s">
        <v>115</v>
      </c>
      <c r="AF38" s="10" t="s">
        <v>93</v>
      </c>
      <c r="AG38" s="10" t="s">
        <v>98</v>
      </c>
      <c r="AH38" s="10"/>
      <c r="AI38" s="10"/>
      <c r="AJ38" s="10">
        <v>4339</v>
      </c>
      <c r="AK38" s="29">
        <f t="shared" si="2"/>
        <v>0.45</v>
      </c>
      <c r="AL38" s="18" t="b">
        <f t="shared" si="3"/>
        <v>1</v>
      </c>
      <c r="AM38" s="10"/>
      <c r="AN38" s="10"/>
      <c r="AO38" s="18" t="e">
        <f t="shared" si="4"/>
        <v>#DIV/0!</v>
      </c>
      <c r="AP38" s="18" t="e">
        <f t="shared" si="5"/>
        <v>#DIV/0!</v>
      </c>
      <c r="AQ38" s="23" t="b">
        <f t="shared" si="6"/>
        <v>1</v>
      </c>
      <c r="AR38" s="18" t="b">
        <f t="shared" si="7"/>
        <v>0</v>
      </c>
      <c r="AS38" s="10" t="s">
        <v>41</v>
      </c>
      <c r="AT38" s="19" t="b">
        <f t="shared" si="8"/>
        <v>0</v>
      </c>
      <c r="AU38" s="18" t="b">
        <f t="shared" si="1"/>
        <v>1</v>
      </c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</row>
    <row r="39" spans="1:84" x14ac:dyDescent="0.25">
      <c r="A39" s="10">
        <v>33</v>
      </c>
      <c r="B39" s="18" t="s">
        <v>129</v>
      </c>
      <c r="C39" s="19" t="s">
        <v>161</v>
      </c>
      <c r="D39" s="10">
        <v>3.57</v>
      </c>
      <c r="E39" s="10">
        <v>2</v>
      </c>
      <c r="F39" s="18" t="s">
        <v>127</v>
      </c>
      <c r="G39" s="13">
        <v>42544</v>
      </c>
      <c r="H39" s="18" t="s">
        <v>127</v>
      </c>
      <c r="I39" s="18" t="s">
        <v>127</v>
      </c>
      <c r="J39" s="10" t="s">
        <v>92</v>
      </c>
      <c r="K39" s="10">
        <v>2</v>
      </c>
      <c r="L39" s="10">
        <v>0.7</v>
      </c>
      <c r="M39" s="10">
        <v>9</v>
      </c>
      <c r="N39" s="10" t="s">
        <v>97</v>
      </c>
      <c r="O39" s="10" t="s">
        <v>94</v>
      </c>
      <c r="P39" s="10" t="s">
        <v>110</v>
      </c>
      <c r="Q39" s="10" t="s">
        <v>96</v>
      </c>
      <c r="R39" s="10">
        <v>48</v>
      </c>
      <c r="S39" s="10">
        <v>4.5</v>
      </c>
      <c r="T39" s="10">
        <v>4.5</v>
      </c>
      <c r="U39" s="10"/>
      <c r="V39" s="10" t="s">
        <v>93</v>
      </c>
      <c r="W39" s="14">
        <v>0.9</v>
      </c>
      <c r="X39" s="10">
        <v>20</v>
      </c>
      <c r="Y39" s="10" t="s">
        <v>105</v>
      </c>
      <c r="Z39" s="10" t="s">
        <v>93</v>
      </c>
      <c r="AA39" s="10" t="s">
        <v>93</v>
      </c>
      <c r="AB39" s="10" t="s">
        <v>93</v>
      </c>
      <c r="AC39" s="10" t="s">
        <v>93</v>
      </c>
      <c r="AD39" s="15" t="s">
        <v>97</v>
      </c>
      <c r="AE39" s="8" t="s">
        <v>115</v>
      </c>
      <c r="AF39" s="8" t="s">
        <v>93</v>
      </c>
      <c r="AG39" s="10" t="s">
        <v>98</v>
      </c>
      <c r="AH39" s="9"/>
      <c r="AI39" s="9"/>
      <c r="AJ39" s="10">
        <v>4339</v>
      </c>
      <c r="AK39" s="29">
        <f t="shared" si="2"/>
        <v>0.45</v>
      </c>
      <c r="AL39" s="18" t="b">
        <f t="shared" si="3"/>
        <v>1</v>
      </c>
      <c r="AM39" s="10"/>
      <c r="AN39" s="10"/>
      <c r="AO39" s="18" t="e">
        <f t="shared" si="4"/>
        <v>#DIV/0!</v>
      </c>
      <c r="AP39" s="18" t="e">
        <f t="shared" si="5"/>
        <v>#DIV/0!</v>
      </c>
      <c r="AQ39" s="23" t="b">
        <f t="shared" si="6"/>
        <v>1</v>
      </c>
      <c r="AR39" s="18" t="b">
        <f t="shared" si="7"/>
        <v>0</v>
      </c>
      <c r="AS39" s="10" t="s">
        <v>41</v>
      </c>
      <c r="AT39" s="19" t="b">
        <f t="shared" si="8"/>
        <v>0</v>
      </c>
      <c r="AU39" s="18" t="b">
        <f t="shared" si="1"/>
        <v>1</v>
      </c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</row>
    <row r="40" spans="1:84" x14ac:dyDescent="0.25">
      <c r="A40" s="10">
        <v>34</v>
      </c>
      <c r="B40" s="18" t="s">
        <v>129</v>
      </c>
      <c r="C40" s="19" t="s">
        <v>162</v>
      </c>
      <c r="D40" s="10">
        <v>5.4</v>
      </c>
      <c r="E40" s="10"/>
      <c r="F40" s="18" t="s">
        <v>127</v>
      </c>
      <c r="G40" s="13">
        <v>42551</v>
      </c>
      <c r="H40" s="18" t="s">
        <v>127</v>
      </c>
      <c r="I40" s="18" t="s">
        <v>127</v>
      </c>
      <c r="J40" s="10" t="s">
        <v>92</v>
      </c>
      <c r="K40" s="10"/>
      <c r="L40" s="10">
        <v>0</v>
      </c>
      <c r="M40" s="10">
        <v>10</v>
      </c>
      <c r="N40" s="10" t="s">
        <v>97</v>
      </c>
      <c r="O40" s="10" t="s">
        <v>94</v>
      </c>
      <c r="P40" s="10" t="s">
        <v>107</v>
      </c>
      <c r="Q40" s="10" t="s">
        <v>96</v>
      </c>
      <c r="R40" s="10">
        <v>35</v>
      </c>
      <c r="S40" s="10">
        <v>10</v>
      </c>
      <c r="T40" s="10">
        <v>4</v>
      </c>
      <c r="U40" s="10"/>
      <c r="V40" s="10" t="s">
        <v>93</v>
      </c>
      <c r="W40" s="14">
        <v>0</v>
      </c>
      <c r="X40" s="10">
        <v>16</v>
      </c>
      <c r="Y40" s="10" t="s">
        <v>98</v>
      </c>
      <c r="Z40" s="10" t="s">
        <v>93</v>
      </c>
      <c r="AA40" s="10" t="s">
        <v>93</v>
      </c>
      <c r="AB40" s="10" t="s">
        <v>93</v>
      </c>
      <c r="AC40" s="10" t="s">
        <v>93</v>
      </c>
      <c r="AD40" s="15" t="s">
        <v>93</v>
      </c>
      <c r="AE40" s="8" t="s">
        <v>103</v>
      </c>
      <c r="AF40" s="10" t="s">
        <v>93</v>
      </c>
      <c r="AG40" s="10" t="s">
        <v>100</v>
      </c>
      <c r="AH40" s="9"/>
      <c r="AI40" s="9"/>
      <c r="AJ40" s="10">
        <v>2703</v>
      </c>
      <c r="AK40" s="29">
        <f t="shared" si="2"/>
        <v>0.625</v>
      </c>
      <c r="AL40" s="18" t="b">
        <f t="shared" si="3"/>
        <v>1</v>
      </c>
      <c r="AM40" s="10"/>
      <c r="AN40" s="10"/>
      <c r="AO40" s="18" t="e">
        <f t="shared" si="4"/>
        <v>#DIV/0!</v>
      </c>
      <c r="AP40" s="18" t="e">
        <f t="shared" si="5"/>
        <v>#DIV/0!</v>
      </c>
      <c r="AQ40" s="23" t="b">
        <f t="shared" si="6"/>
        <v>1</v>
      </c>
      <c r="AR40" s="18" t="b">
        <f t="shared" si="7"/>
        <v>0</v>
      </c>
      <c r="AS40" s="10" t="s">
        <v>42</v>
      </c>
      <c r="AT40" s="19" t="b">
        <f t="shared" si="8"/>
        <v>0</v>
      </c>
      <c r="AU40" s="18" t="b">
        <f t="shared" si="1"/>
        <v>1</v>
      </c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</row>
    <row r="41" spans="1:84" x14ac:dyDescent="0.25">
      <c r="A41" s="10">
        <v>35</v>
      </c>
      <c r="B41" s="18" t="s">
        <v>129</v>
      </c>
      <c r="C41" s="19" t="s">
        <v>163</v>
      </c>
      <c r="D41" s="10">
        <v>5.62</v>
      </c>
      <c r="E41" s="10">
        <v>1</v>
      </c>
      <c r="F41" s="18" t="s">
        <v>127</v>
      </c>
      <c r="G41" s="13">
        <v>42571</v>
      </c>
      <c r="H41" s="18" t="s">
        <v>127</v>
      </c>
      <c r="I41" s="18" t="s">
        <v>127</v>
      </c>
      <c r="J41" s="10" t="s">
        <v>92</v>
      </c>
      <c r="K41" s="10">
        <v>2</v>
      </c>
      <c r="L41" s="10">
        <v>0</v>
      </c>
      <c r="M41" s="10">
        <v>9</v>
      </c>
      <c r="N41" s="10" t="s">
        <v>97</v>
      </c>
      <c r="O41" s="10" t="s">
        <v>94</v>
      </c>
      <c r="P41" s="10" t="s">
        <v>110</v>
      </c>
      <c r="Q41" s="10" t="s">
        <v>111</v>
      </c>
      <c r="R41" s="10">
        <v>30</v>
      </c>
      <c r="S41" s="10">
        <v>4.5</v>
      </c>
      <c r="T41" s="10">
        <v>4.5</v>
      </c>
      <c r="U41" s="10"/>
      <c r="V41" s="10" t="s">
        <v>93</v>
      </c>
      <c r="W41" s="14">
        <v>0</v>
      </c>
      <c r="X41" s="10">
        <v>6</v>
      </c>
      <c r="Y41" s="10" t="s">
        <v>98</v>
      </c>
      <c r="Z41" s="10" t="s">
        <v>93</v>
      </c>
      <c r="AA41" s="10" t="s">
        <v>93</v>
      </c>
      <c r="AB41" s="10" t="s">
        <v>93</v>
      </c>
      <c r="AC41" s="10" t="s">
        <v>93</v>
      </c>
      <c r="AD41" s="15" t="s">
        <v>93</v>
      </c>
      <c r="AE41" s="8" t="s">
        <v>103</v>
      </c>
      <c r="AF41" s="10" t="s">
        <v>93</v>
      </c>
      <c r="AG41" s="10" t="s">
        <v>100</v>
      </c>
      <c r="AH41" s="9"/>
      <c r="AI41" s="9"/>
      <c r="AJ41" s="10">
        <v>1545</v>
      </c>
      <c r="AK41" s="29">
        <f t="shared" si="2"/>
        <v>1.5</v>
      </c>
      <c r="AL41" s="18" t="b">
        <f t="shared" si="3"/>
        <v>0</v>
      </c>
      <c r="AM41" s="10"/>
      <c r="AN41" s="10"/>
      <c r="AO41" s="18" t="e">
        <f t="shared" si="4"/>
        <v>#DIV/0!</v>
      </c>
      <c r="AP41" s="18" t="e">
        <f t="shared" si="5"/>
        <v>#DIV/0!</v>
      </c>
      <c r="AQ41" s="23" t="b">
        <f t="shared" si="6"/>
        <v>1</v>
      </c>
      <c r="AR41" s="18" t="b">
        <f t="shared" si="7"/>
        <v>0</v>
      </c>
      <c r="AS41" s="10" t="s">
        <v>40</v>
      </c>
      <c r="AT41" s="19" t="b">
        <f t="shared" si="8"/>
        <v>0</v>
      </c>
      <c r="AU41" s="18" t="b">
        <f t="shared" si="1"/>
        <v>1</v>
      </c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</row>
    <row r="42" spans="1:84" x14ac:dyDescent="0.25">
      <c r="A42" s="10">
        <v>36</v>
      </c>
      <c r="B42" s="18" t="s">
        <v>129</v>
      </c>
      <c r="C42" s="19" t="s">
        <v>164</v>
      </c>
      <c r="D42" s="10">
        <v>5.62</v>
      </c>
      <c r="E42" s="10">
        <v>2</v>
      </c>
      <c r="F42" s="18" t="s">
        <v>127</v>
      </c>
      <c r="G42" s="13">
        <v>42571</v>
      </c>
      <c r="H42" s="18" t="s">
        <v>127</v>
      </c>
      <c r="I42" s="18" t="s">
        <v>127</v>
      </c>
      <c r="J42" s="10" t="s">
        <v>92</v>
      </c>
      <c r="K42" s="10">
        <v>2</v>
      </c>
      <c r="L42" s="10">
        <v>0</v>
      </c>
      <c r="M42" s="10">
        <v>9</v>
      </c>
      <c r="N42" s="10" t="s">
        <v>97</v>
      </c>
      <c r="O42" s="10" t="s">
        <v>104</v>
      </c>
      <c r="P42" s="10" t="s">
        <v>110</v>
      </c>
      <c r="Q42" s="10" t="s">
        <v>111</v>
      </c>
      <c r="R42" s="10">
        <v>30</v>
      </c>
      <c r="S42" s="10">
        <v>4.5</v>
      </c>
      <c r="T42" s="10">
        <v>4.5</v>
      </c>
      <c r="U42" s="10"/>
      <c r="V42" s="10" t="s">
        <v>93</v>
      </c>
      <c r="W42" s="14">
        <v>0</v>
      </c>
      <c r="X42" s="10">
        <v>6</v>
      </c>
      <c r="Y42" s="10" t="s">
        <v>98</v>
      </c>
      <c r="Z42" s="10" t="s">
        <v>93</v>
      </c>
      <c r="AA42" s="10" t="s">
        <v>93</v>
      </c>
      <c r="AB42" s="10" t="s">
        <v>93</v>
      </c>
      <c r="AC42" s="10" t="s">
        <v>93</v>
      </c>
      <c r="AD42" s="15" t="s">
        <v>93</v>
      </c>
      <c r="AE42" s="8" t="s">
        <v>103</v>
      </c>
      <c r="AF42" s="10" t="s">
        <v>93</v>
      </c>
      <c r="AG42" s="10" t="s">
        <v>100</v>
      </c>
      <c r="AH42" s="9"/>
      <c r="AI42" s="9"/>
      <c r="AJ42" s="10">
        <v>1545</v>
      </c>
      <c r="AK42" s="29">
        <f t="shared" si="2"/>
        <v>1.5</v>
      </c>
      <c r="AL42" s="18" t="b">
        <f t="shared" si="3"/>
        <v>0</v>
      </c>
      <c r="AM42" s="10"/>
      <c r="AN42" s="10"/>
      <c r="AO42" s="18" t="e">
        <f t="shared" si="4"/>
        <v>#DIV/0!</v>
      </c>
      <c r="AP42" s="18" t="e">
        <f t="shared" si="5"/>
        <v>#DIV/0!</v>
      </c>
      <c r="AQ42" s="23" t="b">
        <f t="shared" si="6"/>
        <v>1</v>
      </c>
      <c r="AR42" s="18" t="b">
        <f t="shared" si="7"/>
        <v>0</v>
      </c>
      <c r="AS42" s="10" t="s">
        <v>40</v>
      </c>
      <c r="AT42" s="19" t="b">
        <f t="shared" si="8"/>
        <v>0</v>
      </c>
      <c r="AU42" s="18" t="b">
        <f t="shared" si="1"/>
        <v>1</v>
      </c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</row>
    <row r="43" spans="1:84" x14ac:dyDescent="0.25">
      <c r="A43" s="10">
        <v>37</v>
      </c>
      <c r="B43" s="18" t="s">
        <v>129</v>
      </c>
      <c r="C43" s="19" t="s">
        <v>165</v>
      </c>
      <c r="D43" s="10">
        <v>5.87</v>
      </c>
      <c r="E43" s="10"/>
      <c r="F43" s="18" t="s">
        <v>127</v>
      </c>
      <c r="G43" s="10"/>
      <c r="H43" s="18" t="s">
        <v>127</v>
      </c>
      <c r="I43" s="18" t="s">
        <v>127</v>
      </c>
      <c r="J43" s="10" t="s">
        <v>92</v>
      </c>
      <c r="K43" s="10">
        <v>1</v>
      </c>
      <c r="L43" s="10">
        <v>0</v>
      </c>
      <c r="M43" s="10">
        <v>8</v>
      </c>
      <c r="N43" s="10" t="s">
        <v>97</v>
      </c>
      <c r="O43" s="10" t="s">
        <v>94</v>
      </c>
      <c r="P43" s="10" t="s">
        <v>107</v>
      </c>
      <c r="Q43" s="10" t="s">
        <v>96</v>
      </c>
      <c r="R43" s="10">
        <v>36</v>
      </c>
      <c r="S43" s="10">
        <v>8</v>
      </c>
      <c r="T43" s="10">
        <v>4</v>
      </c>
      <c r="U43" s="10"/>
      <c r="V43" s="10" t="s">
        <v>97</v>
      </c>
      <c r="W43" s="14">
        <v>0</v>
      </c>
      <c r="X43" s="10">
        <v>8</v>
      </c>
      <c r="Y43" s="10" t="s">
        <v>105</v>
      </c>
      <c r="Z43" s="10" t="s">
        <v>93</v>
      </c>
      <c r="AA43" s="10" t="s">
        <v>93</v>
      </c>
      <c r="AB43" s="10" t="s">
        <v>93</v>
      </c>
      <c r="AC43" s="10" t="s">
        <v>93</v>
      </c>
      <c r="AD43" s="15" t="s">
        <v>93</v>
      </c>
      <c r="AE43" s="8" t="s">
        <v>103</v>
      </c>
      <c r="AF43" s="10" t="s">
        <v>93</v>
      </c>
      <c r="AG43" s="10" t="s">
        <v>100</v>
      </c>
      <c r="AH43" s="9"/>
      <c r="AI43" s="9"/>
      <c r="AJ43" s="10">
        <v>816</v>
      </c>
      <c r="AK43" s="29">
        <f t="shared" si="2"/>
        <v>1</v>
      </c>
      <c r="AL43" s="18" t="b">
        <f t="shared" si="3"/>
        <v>0</v>
      </c>
      <c r="AM43" s="10"/>
      <c r="AN43" s="10"/>
      <c r="AO43" s="18" t="e">
        <f t="shared" si="4"/>
        <v>#DIV/0!</v>
      </c>
      <c r="AP43" s="18" t="e">
        <f t="shared" si="5"/>
        <v>#DIV/0!</v>
      </c>
      <c r="AQ43" s="23" t="b">
        <f t="shared" si="6"/>
        <v>0</v>
      </c>
      <c r="AR43" s="18" t="b">
        <f t="shared" si="7"/>
        <v>0</v>
      </c>
      <c r="AS43" s="17" t="s">
        <v>41</v>
      </c>
      <c r="AT43" s="19" t="b">
        <f t="shared" si="8"/>
        <v>0</v>
      </c>
      <c r="AU43" s="18" t="b">
        <f t="shared" si="1"/>
        <v>0</v>
      </c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</row>
    <row r="44" spans="1:84" x14ac:dyDescent="0.25">
      <c r="A44" s="10">
        <v>38</v>
      </c>
      <c r="B44" s="18" t="s">
        <v>129</v>
      </c>
      <c r="C44" s="19" t="s">
        <v>166</v>
      </c>
      <c r="D44" s="10">
        <v>6.04</v>
      </c>
      <c r="E44" s="10"/>
      <c r="F44" s="18" t="s">
        <v>127</v>
      </c>
      <c r="G44" s="10"/>
      <c r="H44" s="18" t="s">
        <v>127</v>
      </c>
      <c r="I44" s="18" t="s">
        <v>127</v>
      </c>
      <c r="J44" s="10" t="s">
        <v>92</v>
      </c>
      <c r="K44" s="10">
        <v>1</v>
      </c>
      <c r="L44" s="10">
        <v>0</v>
      </c>
      <c r="M44" s="10">
        <v>6</v>
      </c>
      <c r="N44" s="10" t="s">
        <v>97</v>
      </c>
      <c r="O44" s="10" t="s">
        <v>94</v>
      </c>
      <c r="P44" s="10" t="s">
        <v>113</v>
      </c>
      <c r="Q44" s="10" t="s">
        <v>111</v>
      </c>
      <c r="R44" s="10">
        <v>30</v>
      </c>
      <c r="S44" s="10">
        <v>6</v>
      </c>
      <c r="T44" s="10">
        <v>4</v>
      </c>
      <c r="U44" s="10"/>
      <c r="V44" s="10" t="s">
        <v>93</v>
      </c>
      <c r="W44" s="14">
        <v>0</v>
      </c>
      <c r="X44" s="10">
        <v>8</v>
      </c>
      <c r="Y44" s="10" t="s">
        <v>105</v>
      </c>
      <c r="Z44" s="10" t="s">
        <v>93</v>
      </c>
      <c r="AA44" s="10" t="s">
        <v>93</v>
      </c>
      <c r="AB44" s="10" t="s">
        <v>93</v>
      </c>
      <c r="AC44" s="10" t="s">
        <v>93</v>
      </c>
      <c r="AD44" s="15" t="s">
        <v>97</v>
      </c>
      <c r="AE44" s="8" t="s">
        <v>109</v>
      </c>
      <c r="AF44" s="10" t="s">
        <v>93</v>
      </c>
      <c r="AG44" s="10" t="s">
        <v>105</v>
      </c>
      <c r="AH44" s="9"/>
      <c r="AI44" s="9"/>
      <c r="AJ44" s="10">
        <v>5144</v>
      </c>
      <c r="AK44" s="29">
        <f t="shared" si="2"/>
        <v>0.75</v>
      </c>
      <c r="AL44" s="18" t="b">
        <f t="shared" si="3"/>
        <v>1</v>
      </c>
      <c r="AM44" s="10"/>
      <c r="AN44" s="10"/>
      <c r="AO44" s="18" t="e">
        <f t="shared" si="4"/>
        <v>#DIV/0!</v>
      </c>
      <c r="AP44" s="18" t="e">
        <f t="shared" si="5"/>
        <v>#DIV/0!</v>
      </c>
      <c r="AQ44" s="23" t="b">
        <f t="shared" si="6"/>
        <v>1</v>
      </c>
      <c r="AR44" s="18" t="b">
        <f t="shared" si="7"/>
        <v>0</v>
      </c>
      <c r="AS44" s="17" t="s">
        <v>41</v>
      </c>
      <c r="AT44" s="19" t="b">
        <f t="shared" si="8"/>
        <v>0</v>
      </c>
      <c r="AU44" s="18" t="b">
        <f t="shared" si="1"/>
        <v>1</v>
      </c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</row>
    <row r="45" spans="1:84" x14ac:dyDescent="0.25">
      <c r="A45" s="10">
        <v>39</v>
      </c>
      <c r="B45" s="18" t="s">
        <v>129</v>
      </c>
      <c r="C45" s="19" t="s">
        <v>167</v>
      </c>
      <c r="D45" s="10">
        <v>6.34</v>
      </c>
      <c r="E45" s="10"/>
      <c r="F45" s="18" t="s">
        <v>127</v>
      </c>
      <c r="G45" s="10"/>
      <c r="H45" s="18" t="s">
        <v>127</v>
      </c>
      <c r="I45" s="18" t="s">
        <v>127</v>
      </c>
      <c r="J45" s="10" t="s">
        <v>92</v>
      </c>
      <c r="K45" s="10">
        <v>1</v>
      </c>
      <c r="L45" s="10">
        <v>0</v>
      </c>
      <c r="M45" s="10">
        <v>6</v>
      </c>
      <c r="N45" s="10" t="s">
        <v>97</v>
      </c>
      <c r="O45" s="10" t="s">
        <v>94</v>
      </c>
      <c r="P45" s="10" t="s">
        <v>113</v>
      </c>
      <c r="Q45" s="10" t="s">
        <v>111</v>
      </c>
      <c r="R45" s="10">
        <v>30</v>
      </c>
      <c r="S45" s="10">
        <v>6</v>
      </c>
      <c r="T45" s="10">
        <v>3.5</v>
      </c>
      <c r="U45" s="10"/>
      <c r="V45" s="10" t="s">
        <v>93</v>
      </c>
      <c r="W45" s="14">
        <v>0</v>
      </c>
      <c r="X45" s="10">
        <v>6</v>
      </c>
      <c r="Y45" s="10" t="s">
        <v>105</v>
      </c>
      <c r="Z45" s="10" t="s">
        <v>93</v>
      </c>
      <c r="AA45" s="10" t="s">
        <v>93</v>
      </c>
      <c r="AB45" s="10" t="s">
        <v>93</v>
      </c>
      <c r="AC45" s="10" t="s">
        <v>93</v>
      </c>
      <c r="AD45" s="15" t="s">
        <v>93</v>
      </c>
      <c r="AE45" s="8" t="s">
        <v>103</v>
      </c>
      <c r="AF45" s="10" t="s">
        <v>93</v>
      </c>
      <c r="AG45" s="10" t="s">
        <v>105</v>
      </c>
      <c r="AH45" s="9"/>
      <c r="AI45" s="9"/>
      <c r="AJ45" s="10">
        <v>3622</v>
      </c>
      <c r="AK45" s="29">
        <f t="shared" si="2"/>
        <v>1</v>
      </c>
      <c r="AL45" s="18" t="b">
        <f t="shared" si="3"/>
        <v>0</v>
      </c>
      <c r="AM45" s="10"/>
      <c r="AN45" s="10"/>
      <c r="AO45" s="18" t="e">
        <f t="shared" si="4"/>
        <v>#DIV/0!</v>
      </c>
      <c r="AP45" s="18" t="e">
        <f t="shared" si="5"/>
        <v>#DIV/0!</v>
      </c>
      <c r="AQ45" s="23" t="b">
        <f t="shared" si="6"/>
        <v>1</v>
      </c>
      <c r="AR45" s="18" t="b">
        <f t="shared" si="7"/>
        <v>0</v>
      </c>
      <c r="AS45" s="17" t="s">
        <v>41</v>
      </c>
      <c r="AT45" s="19" t="b">
        <f t="shared" si="8"/>
        <v>1</v>
      </c>
      <c r="AU45" s="18" t="b">
        <f t="shared" si="1"/>
        <v>0</v>
      </c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</row>
    <row r="46" spans="1:84" x14ac:dyDescent="0.25">
      <c r="A46" s="10">
        <v>40</v>
      </c>
      <c r="B46" s="18" t="s">
        <v>129</v>
      </c>
      <c r="C46" s="19" t="s">
        <v>168</v>
      </c>
      <c r="D46" s="10">
        <v>6.57</v>
      </c>
      <c r="E46" s="10"/>
      <c r="F46" s="18" t="s">
        <v>127</v>
      </c>
      <c r="G46" s="10"/>
      <c r="H46" s="18" t="s">
        <v>127</v>
      </c>
      <c r="I46" s="18" t="s">
        <v>127</v>
      </c>
      <c r="J46" s="10" t="s">
        <v>92</v>
      </c>
      <c r="K46" s="10">
        <v>1</v>
      </c>
      <c r="L46" s="10">
        <v>0</v>
      </c>
      <c r="M46" s="10">
        <v>4</v>
      </c>
      <c r="N46" s="10" t="s">
        <v>97</v>
      </c>
      <c r="O46" s="10" t="s">
        <v>94</v>
      </c>
      <c r="P46" s="10" t="s">
        <v>110</v>
      </c>
      <c r="Q46" s="10" t="s">
        <v>111</v>
      </c>
      <c r="R46" s="10">
        <v>71</v>
      </c>
      <c r="S46" s="10">
        <v>4</v>
      </c>
      <c r="T46" s="10">
        <v>4</v>
      </c>
      <c r="U46" s="10"/>
      <c r="V46" s="10" t="s">
        <v>97</v>
      </c>
      <c r="W46" s="14">
        <v>0</v>
      </c>
      <c r="X46" s="10">
        <v>6</v>
      </c>
      <c r="Y46" s="10" t="s">
        <v>100</v>
      </c>
      <c r="Z46" s="10" t="s">
        <v>93</v>
      </c>
      <c r="AA46" s="10" t="s">
        <v>97</v>
      </c>
      <c r="AB46" s="10" t="s">
        <v>93</v>
      </c>
      <c r="AC46" s="10" t="s">
        <v>93</v>
      </c>
      <c r="AD46" s="15" t="s">
        <v>93</v>
      </c>
      <c r="AE46" s="8" t="s">
        <v>103</v>
      </c>
      <c r="AF46" s="10" t="s">
        <v>93</v>
      </c>
      <c r="AG46" s="10" t="s">
        <v>100</v>
      </c>
      <c r="AH46" s="9"/>
      <c r="AI46" s="9"/>
      <c r="AJ46" s="10">
        <v>2501</v>
      </c>
      <c r="AK46" s="29">
        <f t="shared" si="2"/>
        <v>0.66666666666666663</v>
      </c>
      <c r="AL46" s="18" t="b">
        <f t="shared" si="3"/>
        <v>1</v>
      </c>
      <c r="AM46" s="10"/>
      <c r="AN46" s="10"/>
      <c r="AO46" s="18" t="e">
        <f t="shared" si="4"/>
        <v>#DIV/0!</v>
      </c>
      <c r="AP46" s="18" t="e">
        <f t="shared" si="5"/>
        <v>#DIV/0!</v>
      </c>
      <c r="AQ46" s="23" t="b">
        <f t="shared" si="6"/>
        <v>1</v>
      </c>
      <c r="AR46" s="18" t="b">
        <f t="shared" si="7"/>
        <v>0</v>
      </c>
      <c r="AS46" s="17" t="s">
        <v>41</v>
      </c>
      <c r="AT46" s="19" t="b">
        <f t="shared" si="8"/>
        <v>0</v>
      </c>
      <c r="AU46" s="18" t="b">
        <f t="shared" si="1"/>
        <v>1</v>
      </c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</row>
    <row r="47" spans="1:84" x14ac:dyDescent="0.25">
      <c r="A47" s="10">
        <v>41</v>
      </c>
      <c r="B47" s="18" t="s">
        <v>129</v>
      </c>
      <c r="C47" s="19" t="s">
        <v>169</v>
      </c>
      <c r="D47" s="10">
        <v>6.69</v>
      </c>
      <c r="E47" s="10"/>
      <c r="F47" s="18" t="s">
        <v>127</v>
      </c>
      <c r="G47" s="10"/>
      <c r="H47" s="18" t="s">
        <v>127</v>
      </c>
      <c r="I47" s="18" t="s">
        <v>127</v>
      </c>
      <c r="J47" s="10" t="s">
        <v>92</v>
      </c>
      <c r="K47" s="10">
        <v>1</v>
      </c>
      <c r="L47" s="10">
        <v>0</v>
      </c>
      <c r="M47" s="10">
        <v>3</v>
      </c>
      <c r="N47" s="10" t="s">
        <v>97</v>
      </c>
      <c r="O47" s="10" t="s">
        <v>94</v>
      </c>
      <c r="P47" s="10" t="s">
        <v>110</v>
      </c>
      <c r="Q47" s="10" t="s">
        <v>111</v>
      </c>
      <c r="R47" s="10">
        <v>26</v>
      </c>
      <c r="S47" s="10">
        <v>3</v>
      </c>
      <c r="T47" s="10">
        <v>3</v>
      </c>
      <c r="U47" s="10"/>
      <c r="V47" s="10" t="s">
        <v>93</v>
      </c>
      <c r="W47" s="14">
        <v>0</v>
      </c>
      <c r="X47" s="10">
        <v>5</v>
      </c>
      <c r="Y47" s="10" t="s">
        <v>100</v>
      </c>
      <c r="Z47" s="10" t="s">
        <v>93</v>
      </c>
      <c r="AA47" s="10" t="s">
        <v>93</v>
      </c>
      <c r="AB47" s="10" t="s">
        <v>93</v>
      </c>
      <c r="AC47" s="10" t="s">
        <v>93</v>
      </c>
      <c r="AD47" s="15" t="s">
        <v>93</v>
      </c>
      <c r="AE47" s="8" t="s">
        <v>103</v>
      </c>
      <c r="AF47" s="10" t="s">
        <v>93</v>
      </c>
      <c r="AG47" s="10" t="s">
        <v>100</v>
      </c>
      <c r="AH47" s="9"/>
      <c r="AI47" s="9"/>
      <c r="AJ47" s="10">
        <v>1925</v>
      </c>
      <c r="AK47" s="29">
        <f t="shared" si="2"/>
        <v>0.6</v>
      </c>
      <c r="AL47" s="18" t="b">
        <f t="shared" si="3"/>
        <v>1</v>
      </c>
      <c r="AM47" s="10"/>
      <c r="AN47" s="10"/>
      <c r="AO47" s="18" t="e">
        <f t="shared" si="4"/>
        <v>#DIV/0!</v>
      </c>
      <c r="AP47" s="18" t="e">
        <f t="shared" si="5"/>
        <v>#DIV/0!</v>
      </c>
      <c r="AQ47" s="23" t="b">
        <f t="shared" si="6"/>
        <v>1</v>
      </c>
      <c r="AR47" s="18" t="b">
        <f t="shared" si="7"/>
        <v>0</v>
      </c>
      <c r="AS47" s="17" t="s">
        <v>41</v>
      </c>
      <c r="AT47" s="19" t="b">
        <f t="shared" si="8"/>
        <v>0</v>
      </c>
      <c r="AU47" s="18" t="b">
        <f t="shared" si="1"/>
        <v>1</v>
      </c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</row>
    <row r="48" spans="1:84" x14ac:dyDescent="0.25">
      <c r="A48" s="10">
        <v>42</v>
      </c>
      <c r="B48" s="18" t="s">
        <v>129</v>
      </c>
      <c r="C48" s="19" t="s">
        <v>170</v>
      </c>
      <c r="D48" s="10">
        <v>6.7600000000000007</v>
      </c>
      <c r="E48" s="10"/>
      <c r="F48" s="18" t="s">
        <v>127</v>
      </c>
      <c r="G48" s="10"/>
      <c r="H48" s="18" t="s">
        <v>127</v>
      </c>
      <c r="I48" s="18" t="s">
        <v>127</v>
      </c>
      <c r="J48" s="10" t="s">
        <v>92</v>
      </c>
      <c r="K48" s="10">
        <v>1</v>
      </c>
      <c r="L48" s="10">
        <v>0</v>
      </c>
      <c r="M48" s="10">
        <v>4</v>
      </c>
      <c r="N48" s="10" t="s">
        <v>97</v>
      </c>
      <c r="O48" s="10" t="s">
        <v>94</v>
      </c>
      <c r="P48" s="10" t="s">
        <v>110</v>
      </c>
      <c r="Q48" s="10" t="s">
        <v>111</v>
      </c>
      <c r="R48" s="10">
        <v>38</v>
      </c>
      <c r="S48" s="10">
        <v>4</v>
      </c>
      <c r="T48" s="10">
        <v>4</v>
      </c>
      <c r="U48" s="10"/>
      <c r="V48" s="10" t="s">
        <v>97</v>
      </c>
      <c r="W48" s="14">
        <v>0.3</v>
      </c>
      <c r="X48" s="10">
        <v>6</v>
      </c>
      <c r="Y48" s="10" t="s">
        <v>100</v>
      </c>
      <c r="Z48" s="10" t="s">
        <v>93</v>
      </c>
      <c r="AA48" s="10" t="s">
        <v>93</v>
      </c>
      <c r="AB48" s="10" t="s">
        <v>93</v>
      </c>
      <c r="AC48" s="10" t="s">
        <v>93</v>
      </c>
      <c r="AD48" s="15" t="s">
        <v>93</v>
      </c>
      <c r="AE48" s="8" t="s">
        <v>103</v>
      </c>
      <c r="AF48" s="10" t="s">
        <v>93</v>
      </c>
      <c r="AG48" s="10" t="s">
        <v>100</v>
      </c>
      <c r="AH48" s="9"/>
      <c r="AI48" s="9"/>
      <c r="AJ48" s="10">
        <v>1600</v>
      </c>
      <c r="AK48" s="29">
        <f t="shared" si="2"/>
        <v>0.66666666666666663</v>
      </c>
      <c r="AL48" s="18" t="b">
        <f t="shared" si="3"/>
        <v>1</v>
      </c>
      <c r="AM48" s="10"/>
      <c r="AN48" s="10"/>
      <c r="AO48" s="18" t="e">
        <f t="shared" si="4"/>
        <v>#DIV/0!</v>
      </c>
      <c r="AP48" s="18" t="e">
        <f t="shared" si="5"/>
        <v>#DIV/0!</v>
      </c>
      <c r="AQ48" s="23" t="b">
        <f t="shared" si="6"/>
        <v>1</v>
      </c>
      <c r="AR48" s="18" t="b">
        <f t="shared" si="7"/>
        <v>0</v>
      </c>
      <c r="AS48" s="17" t="s">
        <v>41</v>
      </c>
      <c r="AT48" s="19" t="b">
        <f t="shared" si="8"/>
        <v>0</v>
      </c>
      <c r="AU48" s="18" t="b">
        <f t="shared" si="1"/>
        <v>1</v>
      </c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</row>
    <row r="49" spans="1:84" x14ac:dyDescent="0.25">
      <c r="A49" s="10">
        <v>43</v>
      </c>
      <c r="B49" s="18" t="s">
        <v>129</v>
      </c>
      <c r="C49" s="19" t="s">
        <v>171</v>
      </c>
      <c r="D49" s="10">
        <v>0.03</v>
      </c>
      <c r="E49" s="10"/>
      <c r="F49" s="18" t="s">
        <v>127</v>
      </c>
      <c r="G49" s="13">
        <v>42550</v>
      </c>
      <c r="H49" s="18" t="s">
        <v>127</v>
      </c>
      <c r="I49" s="18" t="s">
        <v>127</v>
      </c>
      <c r="J49" s="10" t="s">
        <v>92</v>
      </c>
      <c r="K49" s="10"/>
      <c r="L49" s="10">
        <v>0</v>
      </c>
      <c r="M49" s="10">
        <v>6.25</v>
      </c>
      <c r="N49" s="10" t="s">
        <v>97</v>
      </c>
      <c r="O49" s="10" t="s">
        <v>94</v>
      </c>
      <c r="P49" s="10" t="s">
        <v>113</v>
      </c>
      <c r="Q49" s="10" t="s">
        <v>96</v>
      </c>
      <c r="R49" s="10">
        <v>211</v>
      </c>
      <c r="S49" s="10">
        <v>6.25</v>
      </c>
      <c r="T49" s="10">
        <v>4</v>
      </c>
      <c r="U49" s="10"/>
      <c r="V49" s="10" t="s">
        <v>93</v>
      </c>
      <c r="W49" s="14">
        <v>0</v>
      </c>
      <c r="X49" s="10">
        <v>10</v>
      </c>
      <c r="Y49" s="10" t="s">
        <v>105</v>
      </c>
      <c r="Z49" s="10" t="s">
        <v>97</v>
      </c>
      <c r="AA49" s="10" t="s">
        <v>93</v>
      </c>
      <c r="AB49" s="10" t="s">
        <v>93</v>
      </c>
      <c r="AC49" s="10" t="s">
        <v>93</v>
      </c>
      <c r="AD49" s="15" t="s">
        <v>97</v>
      </c>
      <c r="AE49" s="8" t="s">
        <v>116</v>
      </c>
      <c r="AF49" s="10" t="s">
        <v>93</v>
      </c>
      <c r="AG49" s="10" t="s">
        <v>105</v>
      </c>
      <c r="AH49" s="9"/>
      <c r="AI49" s="9"/>
      <c r="AJ49" s="10">
        <v>450</v>
      </c>
      <c r="AK49" s="29">
        <f t="shared" si="2"/>
        <v>0.625</v>
      </c>
      <c r="AL49" s="18" t="b">
        <f t="shared" si="3"/>
        <v>1</v>
      </c>
      <c r="AM49" s="10"/>
      <c r="AN49" s="10"/>
      <c r="AO49" s="18" t="e">
        <f t="shared" si="4"/>
        <v>#DIV/0!</v>
      </c>
      <c r="AP49" s="18" t="e">
        <f t="shared" si="5"/>
        <v>#DIV/0!</v>
      </c>
      <c r="AQ49" s="23" t="b">
        <f t="shared" si="6"/>
        <v>1</v>
      </c>
      <c r="AR49" s="18" t="b">
        <f t="shared" si="7"/>
        <v>0</v>
      </c>
      <c r="AS49" s="8" t="s">
        <v>42</v>
      </c>
      <c r="AT49" s="19" t="b">
        <f t="shared" si="8"/>
        <v>0</v>
      </c>
      <c r="AU49" s="18" t="b">
        <f t="shared" si="1"/>
        <v>1</v>
      </c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</row>
    <row r="50" spans="1:84" x14ac:dyDescent="0.25">
      <c r="A50" s="10">
        <v>44</v>
      </c>
      <c r="B50" s="18" t="s">
        <v>129</v>
      </c>
      <c r="C50" s="19" t="s">
        <v>172</v>
      </c>
      <c r="D50" s="10">
        <v>7.0000000000000007E-2</v>
      </c>
      <c r="E50" s="10"/>
      <c r="F50" s="18" t="s">
        <v>127</v>
      </c>
      <c r="G50" s="13">
        <v>42550</v>
      </c>
      <c r="H50" s="18" t="s">
        <v>127</v>
      </c>
      <c r="I50" s="18" t="s">
        <v>127</v>
      </c>
      <c r="J50" s="10" t="s">
        <v>92</v>
      </c>
      <c r="K50" s="10"/>
      <c r="L50" s="10">
        <v>0</v>
      </c>
      <c r="M50" s="10">
        <v>6.25</v>
      </c>
      <c r="N50" s="10" t="s">
        <v>97</v>
      </c>
      <c r="O50" s="10" t="s">
        <v>94</v>
      </c>
      <c r="P50" s="10" t="s">
        <v>107</v>
      </c>
      <c r="Q50" s="10" t="s">
        <v>96</v>
      </c>
      <c r="R50" s="10">
        <v>12</v>
      </c>
      <c r="S50" s="10">
        <v>6.25</v>
      </c>
      <c r="T50" s="10">
        <v>3</v>
      </c>
      <c r="U50" s="10"/>
      <c r="V50" s="10" t="s">
        <v>97</v>
      </c>
      <c r="W50" s="14">
        <v>0</v>
      </c>
      <c r="X50" s="10">
        <v>10</v>
      </c>
      <c r="Y50" s="10" t="s">
        <v>105</v>
      </c>
      <c r="Z50" s="10" t="s">
        <v>93</v>
      </c>
      <c r="AA50" s="10" t="s">
        <v>93</v>
      </c>
      <c r="AB50" s="10" t="s">
        <v>93</v>
      </c>
      <c r="AC50" s="10" t="s">
        <v>93</v>
      </c>
      <c r="AD50" s="15" t="s">
        <v>93</v>
      </c>
      <c r="AE50" s="8" t="s">
        <v>103</v>
      </c>
      <c r="AF50" s="10" t="s">
        <v>93</v>
      </c>
      <c r="AG50" s="10" t="s">
        <v>105</v>
      </c>
      <c r="AH50" s="9"/>
      <c r="AI50" s="9"/>
      <c r="AJ50" s="10">
        <v>250</v>
      </c>
      <c r="AK50" s="29">
        <f t="shared" si="2"/>
        <v>0.625</v>
      </c>
      <c r="AL50" s="18" t="b">
        <f t="shared" si="3"/>
        <v>1</v>
      </c>
      <c r="AM50" s="10"/>
      <c r="AN50" s="10"/>
      <c r="AO50" s="18" t="e">
        <f t="shared" si="4"/>
        <v>#DIV/0!</v>
      </c>
      <c r="AP50" s="18" t="e">
        <f t="shared" si="5"/>
        <v>#DIV/0!</v>
      </c>
      <c r="AQ50" s="23" t="b">
        <f t="shared" si="6"/>
        <v>1</v>
      </c>
      <c r="AR50" s="18" t="b">
        <f t="shared" si="7"/>
        <v>0</v>
      </c>
      <c r="AS50" s="8" t="s">
        <v>42</v>
      </c>
      <c r="AT50" s="19" t="b">
        <f t="shared" si="8"/>
        <v>0</v>
      </c>
      <c r="AU50" s="18" t="b">
        <f t="shared" si="1"/>
        <v>1</v>
      </c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</row>
    <row r="51" spans="1:84" x14ac:dyDescent="0.25">
      <c r="A51" s="10">
        <v>45</v>
      </c>
      <c r="B51" s="18" t="s">
        <v>129</v>
      </c>
      <c r="C51" s="19" t="s">
        <v>173</v>
      </c>
      <c r="D51" s="10">
        <v>0.08</v>
      </c>
      <c r="E51" s="10"/>
      <c r="F51" s="18" t="s">
        <v>127</v>
      </c>
      <c r="G51" s="13">
        <v>42550</v>
      </c>
      <c r="H51" s="18" t="s">
        <v>127</v>
      </c>
      <c r="I51" s="18" t="s">
        <v>127</v>
      </c>
      <c r="J51" s="10" t="s">
        <v>101</v>
      </c>
      <c r="K51" s="10"/>
      <c r="L51" s="10">
        <v>0</v>
      </c>
      <c r="M51" s="10">
        <v>5</v>
      </c>
      <c r="N51" s="10" t="s">
        <v>97</v>
      </c>
      <c r="O51" s="10" t="s">
        <v>94</v>
      </c>
      <c r="P51" s="10" t="s">
        <v>102</v>
      </c>
      <c r="Q51" s="10" t="s">
        <v>96</v>
      </c>
      <c r="R51" s="10">
        <v>14.5</v>
      </c>
      <c r="S51" s="10">
        <v>5</v>
      </c>
      <c r="T51" s="10">
        <v>2.5</v>
      </c>
      <c r="U51" s="10"/>
      <c r="V51" s="10" t="s">
        <v>97</v>
      </c>
      <c r="W51" s="14">
        <v>0</v>
      </c>
      <c r="X51" s="10">
        <v>10</v>
      </c>
      <c r="Y51" s="10" t="s">
        <v>105</v>
      </c>
      <c r="Z51" s="10" t="s">
        <v>93</v>
      </c>
      <c r="AA51" s="10" t="s">
        <v>93</v>
      </c>
      <c r="AB51" s="10" t="s">
        <v>97</v>
      </c>
      <c r="AC51" s="10" t="s">
        <v>93</v>
      </c>
      <c r="AD51" s="15" t="s">
        <v>93</v>
      </c>
      <c r="AE51" s="8" t="s">
        <v>103</v>
      </c>
      <c r="AF51" s="10" t="s">
        <v>93</v>
      </c>
      <c r="AG51" s="10" t="s">
        <v>105</v>
      </c>
      <c r="AH51" s="9"/>
      <c r="AI51" s="9"/>
      <c r="AJ51" s="10">
        <v>188</v>
      </c>
      <c r="AK51" s="29">
        <f t="shared" si="2"/>
        <v>0.5</v>
      </c>
      <c r="AL51" s="18" t="b">
        <f t="shared" si="3"/>
        <v>1</v>
      </c>
      <c r="AM51" s="10"/>
      <c r="AN51" s="10"/>
      <c r="AO51" s="18" t="e">
        <f t="shared" si="4"/>
        <v>#DIV/0!</v>
      </c>
      <c r="AP51" s="18" t="e">
        <f t="shared" si="5"/>
        <v>#DIV/0!</v>
      </c>
      <c r="AQ51" s="23" t="b">
        <f t="shared" si="6"/>
        <v>1</v>
      </c>
      <c r="AR51" s="18" t="b">
        <f t="shared" si="7"/>
        <v>0</v>
      </c>
      <c r="AS51" s="8" t="s">
        <v>42</v>
      </c>
      <c r="AT51" s="19" t="b">
        <f t="shared" si="8"/>
        <v>0</v>
      </c>
      <c r="AU51" s="18" t="b">
        <f t="shared" si="1"/>
        <v>1</v>
      </c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</row>
    <row r="52" spans="1:84" x14ac:dyDescent="0.25">
      <c r="A52" s="10">
        <v>46</v>
      </c>
      <c r="B52" s="18" t="s">
        <v>129</v>
      </c>
      <c r="C52" s="19" t="s">
        <v>174</v>
      </c>
      <c r="D52" s="10">
        <v>0.12</v>
      </c>
      <c r="E52" s="10"/>
      <c r="F52" s="18" t="s">
        <v>127</v>
      </c>
      <c r="G52" s="13">
        <v>42550</v>
      </c>
      <c r="H52" s="18" t="s">
        <v>127</v>
      </c>
      <c r="I52" s="18" t="s">
        <v>127</v>
      </c>
      <c r="J52" s="10" t="s">
        <v>92</v>
      </c>
      <c r="K52" s="10"/>
      <c r="L52" s="10">
        <v>0</v>
      </c>
      <c r="M52" s="10">
        <v>4</v>
      </c>
      <c r="N52" s="10" t="s">
        <v>93</v>
      </c>
      <c r="O52" s="10" t="s">
        <v>94</v>
      </c>
      <c r="P52" s="10" t="s">
        <v>110</v>
      </c>
      <c r="Q52" s="10" t="s">
        <v>96</v>
      </c>
      <c r="R52" s="10">
        <v>68</v>
      </c>
      <c r="S52" s="10">
        <v>4</v>
      </c>
      <c r="T52" s="10">
        <v>4</v>
      </c>
      <c r="U52" s="10"/>
      <c r="V52" s="10" t="s">
        <v>93</v>
      </c>
      <c r="W52" s="14">
        <v>0</v>
      </c>
      <c r="X52" s="10">
        <v>10</v>
      </c>
      <c r="Y52" s="10" t="s">
        <v>105</v>
      </c>
      <c r="Z52" s="10" t="s">
        <v>97</v>
      </c>
      <c r="AA52" s="10" t="s">
        <v>97</v>
      </c>
      <c r="AB52" s="10" t="s">
        <v>93</v>
      </c>
      <c r="AC52" s="10" t="s">
        <v>97</v>
      </c>
      <c r="AD52" s="15" t="s">
        <v>97</v>
      </c>
      <c r="AE52" s="8" t="s">
        <v>117</v>
      </c>
      <c r="AF52" s="10" t="s">
        <v>97</v>
      </c>
      <c r="AG52" s="10" t="s">
        <v>98</v>
      </c>
      <c r="AH52" s="9"/>
      <c r="AI52" s="9"/>
      <c r="AJ52" s="10">
        <v>938</v>
      </c>
      <c r="AK52" s="29">
        <f t="shared" si="2"/>
        <v>0.4</v>
      </c>
      <c r="AL52" s="18" t="b">
        <f t="shared" si="3"/>
        <v>1</v>
      </c>
      <c r="AM52" s="10"/>
      <c r="AN52" s="10"/>
      <c r="AO52" s="18" t="e">
        <f t="shared" si="4"/>
        <v>#DIV/0!</v>
      </c>
      <c r="AP52" s="18" t="e">
        <f t="shared" si="5"/>
        <v>#DIV/0!</v>
      </c>
      <c r="AQ52" s="23" t="b">
        <f t="shared" si="6"/>
        <v>1</v>
      </c>
      <c r="AR52" s="18" t="b">
        <f t="shared" si="7"/>
        <v>0</v>
      </c>
      <c r="AS52" s="10" t="s">
        <v>41</v>
      </c>
      <c r="AT52" s="19" t="b">
        <f t="shared" si="8"/>
        <v>0</v>
      </c>
      <c r="AU52" s="18" t="b">
        <f t="shared" si="1"/>
        <v>1</v>
      </c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</row>
    <row r="53" spans="1:84" x14ac:dyDescent="0.25">
      <c r="A53" s="10">
        <v>47</v>
      </c>
      <c r="B53" s="18" t="s">
        <v>129</v>
      </c>
      <c r="C53" s="19" t="s">
        <v>175</v>
      </c>
      <c r="D53" s="10">
        <v>0.31</v>
      </c>
      <c r="E53" s="10"/>
      <c r="F53" s="18" t="s">
        <v>127</v>
      </c>
      <c r="G53" s="13">
        <v>42550</v>
      </c>
      <c r="H53" s="18" t="s">
        <v>127</v>
      </c>
      <c r="I53" s="18" t="s">
        <v>127</v>
      </c>
      <c r="J53" s="10" t="s">
        <v>92</v>
      </c>
      <c r="K53" s="10"/>
      <c r="L53" s="10">
        <v>0</v>
      </c>
      <c r="M53" s="10">
        <v>4</v>
      </c>
      <c r="N53" s="10" t="s">
        <v>97</v>
      </c>
      <c r="O53" s="10" t="s">
        <v>94</v>
      </c>
      <c r="P53" s="10" t="s">
        <v>110</v>
      </c>
      <c r="Q53" s="10" t="s">
        <v>96</v>
      </c>
      <c r="R53" s="10">
        <v>105</v>
      </c>
      <c r="S53" s="10">
        <v>4</v>
      </c>
      <c r="T53" s="10">
        <v>4</v>
      </c>
      <c r="U53" s="10"/>
      <c r="V53" s="10" t="s">
        <v>93</v>
      </c>
      <c r="W53" s="14">
        <v>0</v>
      </c>
      <c r="X53" s="10">
        <v>9</v>
      </c>
      <c r="Y53" s="10" t="s">
        <v>105</v>
      </c>
      <c r="Z53" s="10" t="s">
        <v>93</v>
      </c>
      <c r="AA53" s="10" t="s">
        <v>93</v>
      </c>
      <c r="AB53" s="10" t="s">
        <v>93</v>
      </c>
      <c r="AC53" s="10" t="s">
        <v>93</v>
      </c>
      <c r="AD53" s="15" t="s">
        <v>97</v>
      </c>
      <c r="AE53" s="8" t="s">
        <v>116</v>
      </c>
      <c r="AF53" s="10" t="s">
        <v>93</v>
      </c>
      <c r="AG53" s="10" t="s">
        <v>100</v>
      </c>
      <c r="AH53" s="9"/>
      <c r="AI53" s="9"/>
      <c r="AJ53" s="10">
        <v>11298</v>
      </c>
      <c r="AK53" s="29">
        <f t="shared" si="2"/>
        <v>0.44444444444444442</v>
      </c>
      <c r="AL53" s="18" t="b">
        <f t="shared" si="3"/>
        <v>1</v>
      </c>
      <c r="AM53" s="10"/>
      <c r="AN53" s="10"/>
      <c r="AO53" s="18" t="e">
        <f t="shared" si="4"/>
        <v>#DIV/0!</v>
      </c>
      <c r="AP53" s="18" t="e">
        <f t="shared" si="5"/>
        <v>#DIV/0!</v>
      </c>
      <c r="AQ53" s="23" t="b">
        <f t="shared" si="6"/>
        <v>1</v>
      </c>
      <c r="AR53" s="18" t="b">
        <f t="shared" si="7"/>
        <v>0</v>
      </c>
      <c r="AS53" s="10" t="s">
        <v>41</v>
      </c>
      <c r="AT53" s="19" t="b">
        <f t="shared" si="8"/>
        <v>0</v>
      </c>
      <c r="AU53" s="18" t="b">
        <f t="shared" si="1"/>
        <v>1</v>
      </c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</row>
    <row r="54" spans="1:84" x14ac:dyDescent="0.25">
      <c r="A54" s="10">
        <v>48</v>
      </c>
      <c r="B54" s="18" t="s">
        <v>129</v>
      </c>
      <c r="C54" s="19" t="s">
        <v>176</v>
      </c>
      <c r="D54" s="10">
        <v>0.56000000000000005</v>
      </c>
      <c r="E54" s="10"/>
      <c r="F54" s="18" t="s">
        <v>127</v>
      </c>
      <c r="G54" s="13">
        <v>42550</v>
      </c>
      <c r="H54" s="18" t="s">
        <v>127</v>
      </c>
      <c r="I54" s="18" t="s">
        <v>127</v>
      </c>
      <c r="J54" s="10" t="s">
        <v>92</v>
      </c>
      <c r="K54" s="10"/>
      <c r="L54" s="10">
        <v>0</v>
      </c>
      <c r="M54" s="10">
        <v>5</v>
      </c>
      <c r="N54" s="10" t="s">
        <v>97</v>
      </c>
      <c r="O54" s="10" t="s">
        <v>94</v>
      </c>
      <c r="P54" s="10" t="s">
        <v>113</v>
      </c>
      <c r="Q54" s="10" t="s">
        <v>96</v>
      </c>
      <c r="R54" s="10">
        <v>106</v>
      </c>
      <c r="S54" s="10">
        <v>5</v>
      </c>
      <c r="T54" s="10">
        <v>4</v>
      </c>
      <c r="U54" s="10"/>
      <c r="V54" s="10" t="s">
        <v>97</v>
      </c>
      <c r="W54" s="14">
        <v>0</v>
      </c>
      <c r="X54" s="10">
        <v>12</v>
      </c>
      <c r="Y54" s="10" t="s">
        <v>98</v>
      </c>
      <c r="Z54" s="10" t="s">
        <v>93</v>
      </c>
      <c r="AA54" s="10" t="s">
        <v>97</v>
      </c>
      <c r="AB54" s="10" t="s">
        <v>93</v>
      </c>
      <c r="AC54" s="10" t="s">
        <v>93</v>
      </c>
      <c r="AD54" s="15" t="s">
        <v>93</v>
      </c>
      <c r="AE54" s="8" t="s">
        <v>103</v>
      </c>
      <c r="AF54" s="10" t="s">
        <v>93</v>
      </c>
      <c r="AG54" s="10" t="s">
        <v>100</v>
      </c>
      <c r="AH54" s="9"/>
      <c r="AI54" s="9"/>
      <c r="AJ54" s="10">
        <v>9977</v>
      </c>
      <c r="AK54" s="29">
        <f t="shared" si="2"/>
        <v>0.41666666666666669</v>
      </c>
      <c r="AL54" s="18" t="b">
        <f t="shared" si="3"/>
        <v>1</v>
      </c>
      <c r="AM54" s="10"/>
      <c r="AN54" s="10"/>
      <c r="AO54" s="18" t="e">
        <f t="shared" si="4"/>
        <v>#DIV/0!</v>
      </c>
      <c r="AP54" s="18" t="e">
        <f t="shared" si="5"/>
        <v>#DIV/0!</v>
      </c>
      <c r="AQ54" s="23" t="b">
        <f t="shared" si="6"/>
        <v>1</v>
      </c>
      <c r="AR54" s="18" t="b">
        <f t="shared" si="7"/>
        <v>0</v>
      </c>
      <c r="AS54" s="10" t="s">
        <v>41</v>
      </c>
      <c r="AT54" s="19" t="b">
        <f t="shared" si="8"/>
        <v>0</v>
      </c>
      <c r="AU54" s="18" t="b">
        <f t="shared" si="1"/>
        <v>1</v>
      </c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</row>
    <row r="55" spans="1:84" x14ac:dyDescent="0.25">
      <c r="A55" s="10">
        <v>49</v>
      </c>
      <c r="B55" s="18" t="s">
        <v>129</v>
      </c>
      <c r="C55" s="19" t="s">
        <v>177</v>
      </c>
      <c r="D55" s="10">
        <v>0.94000000000000006</v>
      </c>
      <c r="E55" s="10"/>
      <c r="F55" s="18" t="s">
        <v>127</v>
      </c>
      <c r="G55" s="13">
        <v>42550</v>
      </c>
      <c r="H55" s="18" t="s">
        <v>127</v>
      </c>
      <c r="I55" s="18" t="s">
        <v>127</v>
      </c>
      <c r="J55" s="10" t="s">
        <v>92</v>
      </c>
      <c r="K55" s="10"/>
      <c r="L55" s="10">
        <v>0</v>
      </c>
      <c r="M55" s="10">
        <v>4</v>
      </c>
      <c r="N55" s="10" t="s">
        <v>93</v>
      </c>
      <c r="O55" s="10" t="s">
        <v>94</v>
      </c>
      <c r="P55" s="10" t="s">
        <v>107</v>
      </c>
      <c r="Q55" s="10" t="s">
        <v>96</v>
      </c>
      <c r="R55" s="10">
        <v>52</v>
      </c>
      <c r="S55" s="10">
        <v>4</v>
      </c>
      <c r="T55" s="10">
        <v>6</v>
      </c>
      <c r="U55" s="10"/>
      <c r="V55" s="10" t="s">
        <v>93</v>
      </c>
      <c r="W55" s="14">
        <v>0</v>
      </c>
      <c r="X55" s="10">
        <v>8</v>
      </c>
      <c r="Y55" s="10" t="s">
        <v>100</v>
      </c>
      <c r="Z55" s="10" t="s">
        <v>93</v>
      </c>
      <c r="AA55" s="10" t="s">
        <v>93</v>
      </c>
      <c r="AB55" s="10" t="s">
        <v>97</v>
      </c>
      <c r="AC55" s="10" t="s">
        <v>97</v>
      </c>
      <c r="AD55" s="15" t="s">
        <v>93</v>
      </c>
      <c r="AE55" s="8" t="s">
        <v>103</v>
      </c>
      <c r="AF55" s="10" t="s">
        <v>97</v>
      </c>
      <c r="AG55" s="10" t="s">
        <v>98</v>
      </c>
      <c r="AH55" s="9"/>
      <c r="AI55" s="9"/>
      <c r="AJ55" s="10">
        <v>8057</v>
      </c>
      <c r="AK55" s="29">
        <f t="shared" si="2"/>
        <v>0.5</v>
      </c>
      <c r="AL55" s="18" t="b">
        <f t="shared" si="3"/>
        <v>1</v>
      </c>
      <c r="AM55" s="10"/>
      <c r="AN55" s="10"/>
      <c r="AO55" s="18" t="e">
        <f t="shared" si="4"/>
        <v>#DIV/0!</v>
      </c>
      <c r="AP55" s="18" t="e">
        <f t="shared" si="5"/>
        <v>#DIV/0!</v>
      </c>
      <c r="AQ55" s="23" t="b">
        <f t="shared" si="6"/>
        <v>1</v>
      </c>
      <c r="AR55" s="18" t="b">
        <f t="shared" si="7"/>
        <v>0</v>
      </c>
      <c r="AS55" s="10" t="s">
        <v>41</v>
      </c>
      <c r="AT55" s="19" t="b">
        <f t="shared" si="8"/>
        <v>0</v>
      </c>
      <c r="AU55" s="18" t="b">
        <f t="shared" si="1"/>
        <v>1</v>
      </c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</row>
    <row r="56" spans="1:84" x14ac:dyDescent="0.25">
      <c r="A56" s="10">
        <v>50</v>
      </c>
      <c r="B56" s="18" t="s">
        <v>129</v>
      </c>
      <c r="C56" s="19" t="s">
        <v>178</v>
      </c>
      <c r="D56" s="10">
        <v>1.07</v>
      </c>
      <c r="E56" s="10"/>
      <c r="F56" s="18" t="s">
        <v>127</v>
      </c>
      <c r="G56" s="13">
        <v>42550</v>
      </c>
      <c r="H56" s="18" t="s">
        <v>127</v>
      </c>
      <c r="I56" s="18" t="s">
        <v>127</v>
      </c>
      <c r="J56" s="10" t="s">
        <v>92</v>
      </c>
      <c r="K56" s="10"/>
      <c r="L56" s="10">
        <v>0</v>
      </c>
      <c r="M56" s="10">
        <v>10</v>
      </c>
      <c r="N56" s="10" t="s">
        <v>97</v>
      </c>
      <c r="O56" s="10" t="s">
        <v>94</v>
      </c>
      <c r="P56" s="10" t="s">
        <v>107</v>
      </c>
      <c r="Q56" s="10" t="s">
        <v>96</v>
      </c>
      <c r="R56" s="10">
        <v>74</v>
      </c>
      <c r="S56" s="10">
        <v>10</v>
      </c>
      <c r="T56" s="10">
        <v>6</v>
      </c>
      <c r="U56" s="10"/>
      <c r="V56" s="10" t="s">
        <v>97</v>
      </c>
      <c r="W56" s="14">
        <v>0</v>
      </c>
      <c r="X56" s="10">
        <v>12</v>
      </c>
      <c r="Y56" s="10" t="s">
        <v>105</v>
      </c>
      <c r="Z56" s="10" t="s">
        <v>93</v>
      </c>
      <c r="AA56" s="10" t="s">
        <v>97</v>
      </c>
      <c r="AB56" s="10" t="s">
        <v>93</v>
      </c>
      <c r="AC56" s="10" t="s">
        <v>93</v>
      </c>
      <c r="AD56" s="15" t="s">
        <v>93</v>
      </c>
      <c r="AE56" s="8" t="s">
        <v>103</v>
      </c>
      <c r="AF56" s="10" t="s">
        <v>93</v>
      </c>
      <c r="AG56" s="10" t="s">
        <v>100</v>
      </c>
      <c r="AH56" s="9"/>
      <c r="AI56" s="9"/>
      <c r="AJ56" s="10">
        <v>5791</v>
      </c>
      <c r="AK56" s="29">
        <f t="shared" si="2"/>
        <v>0.83333333333333337</v>
      </c>
      <c r="AL56" s="18" t="b">
        <f t="shared" si="3"/>
        <v>0</v>
      </c>
      <c r="AM56" s="10"/>
      <c r="AN56" s="10"/>
      <c r="AO56" s="18" t="e">
        <f t="shared" si="4"/>
        <v>#DIV/0!</v>
      </c>
      <c r="AP56" s="18" t="e">
        <f t="shared" si="5"/>
        <v>#DIV/0!</v>
      </c>
      <c r="AQ56" s="23" t="b">
        <f t="shared" si="6"/>
        <v>0</v>
      </c>
      <c r="AR56" s="18" t="b">
        <f t="shared" si="7"/>
        <v>0</v>
      </c>
      <c r="AS56" s="10" t="s">
        <v>41</v>
      </c>
      <c r="AT56" s="19" t="b">
        <f t="shared" si="8"/>
        <v>0</v>
      </c>
      <c r="AU56" s="18" t="b">
        <f t="shared" si="1"/>
        <v>0</v>
      </c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</row>
    <row r="57" spans="1:84" x14ac:dyDescent="0.25">
      <c r="A57" s="10">
        <v>51</v>
      </c>
      <c r="B57" s="18" t="s">
        <v>129</v>
      </c>
      <c r="C57" s="19" t="s">
        <v>179</v>
      </c>
      <c r="D57" s="10"/>
      <c r="E57" s="10">
        <v>1</v>
      </c>
      <c r="F57" s="18" t="s">
        <v>127</v>
      </c>
      <c r="G57" s="10"/>
      <c r="H57" s="18" t="s">
        <v>127</v>
      </c>
      <c r="I57" s="18" t="s">
        <v>127</v>
      </c>
      <c r="J57" s="10" t="s">
        <v>92</v>
      </c>
      <c r="K57" s="10">
        <v>2</v>
      </c>
      <c r="L57" s="10">
        <v>0</v>
      </c>
      <c r="M57" s="10">
        <v>10</v>
      </c>
      <c r="N57" s="10" t="s">
        <v>93</v>
      </c>
      <c r="O57" s="10" t="s">
        <v>94</v>
      </c>
      <c r="P57" s="10" t="s">
        <v>110</v>
      </c>
      <c r="Q57" s="10" t="s">
        <v>111</v>
      </c>
      <c r="R57" s="10">
        <v>36</v>
      </c>
      <c r="S57" s="10">
        <v>4</v>
      </c>
      <c r="T57" s="10">
        <v>3.7</v>
      </c>
      <c r="U57" s="10"/>
      <c r="V57" s="10" t="s">
        <v>97</v>
      </c>
      <c r="W57" s="14">
        <v>0</v>
      </c>
      <c r="X57" s="10">
        <v>10</v>
      </c>
      <c r="Y57" s="10" t="s">
        <v>98</v>
      </c>
      <c r="Z57" s="10" t="s">
        <v>93</v>
      </c>
      <c r="AA57" s="10" t="s">
        <v>93</v>
      </c>
      <c r="AB57" s="10" t="s">
        <v>93</v>
      </c>
      <c r="AC57" s="10" t="s">
        <v>97</v>
      </c>
      <c r="AD57" s="15" t="s">
        <v>97</v>
      </c>
      <c r="AE57" s="8" t="s">
        <v>109</v>
      </c>
      <c r="AF57" s="10" t="s">
        <v>93</v>
      </c>
      <c r="AG57" s="10" t="s">
        <v>105</v>
      </c>
      <c r="AH57" s="9"/>
      <c r="AI57" s="9"/>
      <c r="AJ57" s="10">
        <v>6682</v>
      </c>
      <c r="AK57" s="29">
        <f t="shared" si="2"/>
        <v>1</v>
      </c>
      <c r="AL57" s="18" t="b">
        <f t="shared" si="3"/>
        <v>0</v>
      </c>
      <c r="AM57" s="10"/>
      <c r="AN57" s="10"/>
      <c r="AO57" s="18" t="e">
        <f t="shared" si="4"/>
        <v>#DIV/0!</v>
      </c>
      <c r="AP57" s="18" t="e">
        <f t="shared" si="5"/>
        <v>#DIV/0!</v>
      </c>
      <c r="AQ57" s="23" t="b">
        <f t="shared" si="6"/>
        <v>0</v>
      </c>
      <c r="AR57" s="18" t="b">
        <f t="shared" si="7"/>
        <v>0</v>
      </c>
      <c r="AS57" s="17" t="s">
        <v>41</v>
      </c>
      <c r="AT57" s="19" t="b">
        <f t="shared" si="8"/>
        <v>0</v>
      </c>
      <c r="AU57" s="18" t="b">
        <f t="shared" si="1"/>
        <v>0</v>
      </c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</row>
    <row r="58" spans="1:84" x14ac:dyDescent="0.25">
      <c r="A58" s="10">
        <v>52</v>
      </c>
      <c r="B58" s="18" t="s">
        <v>129</v>
      </c>
      <c r="C58" s="19" t="s">
        <v>180</v>
      </c>
      <c r="D58" s="10"/>
      <c r="E58" s="10">
        <v>2</v>
      </c>
      <c r="F58" s="18" t="s">
        <v>127</v>
      </c>
      <c r="G58" s="10"/>
      <c r="H58" s="18" t="s">
        <v>127</v>
      </c>
      <c r="I58" s="18" t="s">
        <v>127</v>
      </c>
      <c r="J58" s="10" t="s">
        <v>92</v>
      </c>
      <c r="K58" s="10">
        <v>2</v>
      </c>
      <c r="L58" s="10">
        <v>0</v>
      </c>
      <c r="M58" s="10">
        <v>10</v>
      </c>
      <c r="N58" s="10" t="s">
        <v>93</v>
      </c>
      <c r="O58" s="10" t="s">
        <v>94</v>
      </c>
      <c r="P58" s="10" t="s">
        <v>113</v>
      </c>
      <c r="Q58" s="10" t="s">
        <v>111</v>
      </c>
      <c r="R58" s="10">
        <v>36</v>
      </c>
      <c r="S58" s="10">
        <v>6</v>
      </c>
      <c r="T58" s="10">
        <v>4</v>
      </c>
      <c r="U58" s="10"/>
      <c r="V58" s="10" t="s">
        <v>93</v>
      </c>
      <c r="W58" s="14">
        <v>0</v>
      </c>
      <c r="X58" s="10">
        <v>10</v>
      </c>
      <c r="Y58" s="10" t="s">
        <v>98</v>
      </c>
      <c r="Z58" s="10" t="s">
        <v>93</v>
      </c>
      <c r="AA58" s="10" t="s">
        <v>93</v>
      </c>
      <c r="AB58" s="10" t="s">
        <v>93</v>
      </c>
      <c r="AC58" s="10" t="s">
        <v>97</v>
      </c>
      <c r="AD58" s="15" t="s">
        <v>97</v>
      </c>
      <c r="AE58" s="8" t="s">
        <v>109</v>
      </c>
      <c r="AF58" s="10" t="s">
        <v>93</v>
      </c>
      <c r="AG58" s="10" t="s">
        <v>100</v>
      </c>
      <c r="AH58" s="9"/>
      <c r="AI58" s="9"/>
      <c r="AJ58" s="10">
        <v>6682</v>
      </c>
      <c r="AK58" s="29">
        <f t="shared" si="2"/>
        <v>1</v>
      </c>
      <c r="AL58" s="18" t="b">
        <f t="shared" si="3"/>
        <v>0</v>
      </c>
      <c r="AM58" s="10"/>
      <c r="AN58" s="10"/>
      <c r="AO58" s="18" t="e">
        <f t="shared" si="4"/>
        <v>#DIV/0!</v>
      </c>
      <c r="AP58" s="18" t="e">
        <f t="shared" si="5"/>
        <v>#DIV/0!</v>
      </c>
      <c r="AQ58" s="23" t="b">
        <f t="shared" si="6"/>
        <v>1</v>
      </c>
      <c r="AR58" s="18" t="b">
        <f t="shared" si="7"/>
        <v>0</v>
      </c>
      <c r="AS58" s="17" t="s">
        <v>41</v>
      </c>
      <c r="AT58" s="19" t="b">
        <f t="shared" si="8"/>
        <v>0</v>
      </c>
      <c r="AU58" s="18" t="b">
        <f t="shared" si="1"/>
        <v>1</v>
      </c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</row>
    <row r="59" spans="1:84" x14ac:dyDescent="0.25">
      <c r="A59" s="10"/>
      <c r="B59" s="10"/>
      <c r="C59" s="12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4"/>
      <c r="X59" s="10"/>
      <c r="Y59" s="10"/>
      <c r="Z59" s="10"/>
      <c r="AA59" s="10"/>
      <c r="AB59" s="10"/>
      <c r="AC59" s="10"/>
      <c r="AD59" s="15"/>
      <c r="AE59" s="8"/>
      <c r="AF59" s="10"/>
      <c r="AG59" s="10"/>
      <c r="AH59" s="9"/>
      <c r="AI59" s="9"/>
      <c r="AJ59" s="10"/>
      <c r="AK59" s="29"/>
      <c r="AL59" s="18"/>
      <c r="AM59" s="10"/>
      <c r="AN59" s="10"/>
      <c r="AO59" s="18"/>
      <c r="AP59" s="18"/>
      <c r="AQ59" s="23"/>
      <c r="AR59" s="18"/>
      <c r="AS59" s="10"/>
      <c r="AT59" s="19"/>
      <c r="AU59" s="18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</row>
    <row r="60" spans="1:84" x14ac:dyDescent="0.25">
      <c r="A60" s="10"/>
      <c r="B60" s="10"/>
      <c r="C60" s="12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4"/>
      <c r="X60" s="10"/>
      <c r="Y60" s="10"/>
      <c r="Z60" s="10"/>
      <c r="AA60" s="10"/>
      <c r="AB60" s="10"/>
      <c r="AC60" s="10"/>
      <c r="AD60" s="15"/>
      <c r="AE60" s="8"/>
      <c r="AF60" s="10"/>
      <c r="AG60" s="10"/>
      <c r="AH60" s="9"/>
      <c r="AI60" s="9"/>
      <c r="AJ60" s="10"/>
      <c r="AK60" s="29"/>
      <c r="AL60" s="18"/>
      <c r="AM60" s="10"/>
      <c r="AN60" s="10"/>
      <c r="AO60" s="18"/>
      <c r="AP60" s="18"/>
      <c r="AQ60" s="23"/>
      <c r="AR60" s="18"/>
      <c r="AS60" s="10"/>
      <c r="AT60" s="19"/>
      <c r="AU60" s="18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</row>
    <row r="61" spans="1:84" x14ac:dyDescent="0.25">
      <c r="A61" s="10"/>
      <c r="B61" s="10"/>
      <c r="C61" s="12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4"/>
      <c r="X61" s="10"/>
      <c r="Y61" s="10"/>
      <c r="Z61" s="10"/>
      <c r="AA61" s="10"/>
      <c r="AB61" s="10"/>
      <c r="AC61" s="10"/>
      <c r="AD61" s="15"/>
      <c r="AE61" s="8"/>
      <c r="AF61" s="10"/>
      <c r="AG61" s="10"/>
      <c r="AH61" s="9"/>
      <c r="AI61" s="9"/>
      <c r="AJ61" s="10"/>
      <c r="AK61" s="29"/>
      <c r="AL61" s="18"/>
      <c r="AM61" s="10"/>
      <c r="AN61" s="10"/>
      <c r="AO61" s="18"/>
      <c r="AP61" s="18"/>
      <c r="AQ61" s="23"/>
      <c r="AR61" s="18"/>
      <c r="AS61" s="10"/>
      <c r="AT61" s="19"/>
      <c r="AU61" s="18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</row>
    <row r="62" spans="1:84" x14ac:dyDescent="0.25">
      <c r="A62" s="10"/>
      <c r="B62" s="10"/>
      <c r="C62" s="12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4"/>
      <c r="X62" s="10"/>
      <c r="Y62" s="10"/>
      <c r="Z62" s="10"/>
      <c r="AA62" s="10"/>
      <c r="AB62" s="10"/>
      <c r="AC62" s="10"/>
      <c r="AD62" s="15"/>
      <c r="AE62" s="8"/>
      <c r="AF62" s="10"/>
      <c r="AG62" s="10"/>
      <c r="AH62" s="9"/>
      <c r="AI62" s="9"/>
      <c r="AJ62" s="10"/>
      <c r="AK62" s="29"/>
      <c r="AL62" s="18"/>
      <c r="AM62" s="10"/>
      <c r="AN62" s="10"/>
      <c r="AO62" s="18"/>
      <c r="AP62" s="18"/>
      <c r="AQ62" s="23"/>
      <c r="AR62" s="18"/>
      <c r="AS62" s="10"/>
      <c r="AT62" s="19"/>
      <c r="AU62" s="18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</row>
    <row r="63" spans="1:84" x14ac:dyDescent="0.25">
      <c r="A63" s="10"/>
      <c r="B63" s="10"/>
      <c r="C63" s="12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4"/>
      <c r="X63" s="10"/>
      <c r="Y63" s="10"/>
      <c r="Z63" s="10"/>
      <c r="AA63" s="10"/>
      <c r="AB63" s="10"/>
      <c r="AC63" s="10"/>
      <c r="AD63" s="15"/>
      <c r="AE63" s="8"/>
      <c r="AF63" s="10"/>
      <c r="AG63" s="10"/>
      <c r="AH63" s="9"/>
      <c r="AI63" s="9"/>
      <c r="AJ63" s="10"/>
      <c r="AK63" s="29"/>
      <c r="AL63" s="18"/>
      <c r="AM63" s="10"/>
      <c r="AN63" s="10"/>
      <c r="AO63" s="18"/>
      <c r="AP63" s="18"/>
      <c r="AQ63" s="23"/>
      <c r="AR63" s="18"/>
      <c r="AS63" s="10"/>
      <c r="AT63" s="19"/>
      <c r="AU63" s="18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</row>
    <row r="64" spans="1:84" x14ac:dyDescent="0.25">
      <c r="A64" s="10"/>
      <c r="B64" s="10"/>
      <c r="C64" s="12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4"/>
      <c r="X64" s="10"/>
      <c r="Y64" s="10"/>
      <c r="Z64" s="10"/>
      <c r="AA64" s="10"/>
      <c r="AB64" s="10"/>
      <c r="AC64" s="10"/>
      <c r="AD64" s="15"/>
      <c r="AE64" s="8"/>
      <c r="AF64" s="10"/>
      <c r="AG64" s="10"/>
      <c r="AH64" s="9"/>
      <c r="AI64" s="9"/>
      <c r="AJ64" s="10"/>
      <c r="AK64" s="29"/>
      <c r="AL64" s="18"/>
      <c r="AM64" s="10"/>
      <c r="AN64" s="10"/>
      <c r="AO64" s="18"/>
      <c r="AP64" s="18"/>
      <c r="AQ64" s="23"/>
      <c r="AR64" s="18"/>
      <c r="AS64" s="10"/>
      <c r="AT64" s="19"/>
      <c r="AU64" s="18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</row>
    <row r="65" spans="1:84" x14ac:dyDescent="0.25">
      <c r="A65" s="10"/>
      <c r="B65" s="10"/>
      <c r="C65" s="12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4"/>
      <c r="X65" s="10"/>
      <c r="Y65" s="10"/>
      <c r="Z65" s="10"/>
      <c r="AA65" s="10"/>
      <c r="AB65" s="10"/>
      <c r="AC65" s="10"/>
      <c r="AD65" s="15"/>
      <c r="AE65" s="8"/>
      <c r="AF65" s="10"/>
      <c r="AG65" s="10"/>
      <c r="AH65" s="9"/>
      <c r="AI65" s="9"/>
      <c r="AJ65" s="10"/>
      <c r="AK65" s="29"/>
      <c r="AL65" s="18"/>
      <c r="AM65" s="10"/>
      <c r="AN65" s="10"/>
      <c r="AO65" s="18"/>
      <c r="AP65" s="18"/>
      <c r="AQ65" s="23"/>
      <c r="AR65" s="18"/>
      <c r="AS65" s="10"/>
      <c r="AT65" s="19"/>
      <c r="AU65" s="18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</row>
    <row r="66" spans="1:84" x14ac:dyDescent="0.25">
      <c r="A66" s="10"/>
      <c r="B66" s="10"/>
      <c r="C66" s="12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4"/>
      <c r="X66" s="10"/>
      <c r="Y66" s="10"/>
      <c r="Z66" s="10"/>
      <c r="AA66" s="10"/>
      <c r="AB66" s="10"/>
      <c r="AC66" s="10"/>
      <c r="AD66" s="15"/>
      <c r="AE66" s="8"/>
      <c r="AF66" s="10"/>
      <c r="AG66" s="10"/>
      <c r="AH66" s="9"/>
      <c r="AI66" s="9"/>
      <c r="AJ66" s="10"/>
      <c r="AK66" s="29"/>
      <c r="AL66" s="18"/>
      <c r="AM66" s="10"/>
      <c r="AN66" s="10"/>
      <c r="AO66" s="18"/>
      <c r="AP66" s="18"/>
      <c r="AQ66" s="23"/>
      <c r="AR66" s="18"/>
      <c r="AS66" s="10"/>
      <c r="AT66" s="19"/>
      <c r="AU66" s="18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</row>
    <row r="67" spans="1:84" x14ac:dyDescent="0.25">
      <c r="A67" s="10"/>
      <c r="B67" s="10"/>
      <c r="C67" s="12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4"/>
      <c r="X67" s="10"/>
      <c r="Y67" s="10"/>
      <c r="Z67" s="10"/>
      <c r="AA67" s="10"/>
      <c r="AB67" s="10"/>
      <c r="AC67" s="10"/>
      <c r="AD67" s="15"/>
      <c r="AE67" s="8"/>
      <c r="AF67" s="10"/>
      <c r="AG67" s="10"/>
      <c r="AH67" s="9"/>
      <c r="AI67" s="9"/>
      <c r="AJ67" s="10"/>
      <c r="AK67" s="29"/>
      <c r="AL67" s="18"/>
      <c r="AM67" s="10"/>
      <c r="AN67" s="10"/>
      <c r="AO67" s="18"/>
      <c r="AP67" s="18"/>
      <c r="AQ67" s="23"/>
      <c r="AR67" s="18"/>
      <c r="AS67" s="10"/>
      <c r="AT67" s="19"/>
      <c r="AU67" s="18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</row>
    <row r="68" spans="1:84" x14ac:dyDescent="0.25">
      <c r="A68" s="10"/>
      <c r="B68" s="10"/>
      <c r="C68" s="12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4"/>
      <c r="X68" s="10"/>
      <c r="Y68" s="10"/>
      <c r="Z68" s="10"/>
      <c r="AA68" s="10"/>
      <c r="AB68" s="10"/>
      <c r="AC68" s="10"/>
      <c r="AD68" s="15"/>
      <c r="AE68" s="8"/>
      <c r="AF68" s="10"/>
      <c r="AG68" s="10"/>
      <c r="AH68" s="9"/>
      <c r="AI68" s="9"/>
      <c r="AJ68" s="10"/>
      <c r="AK68" s="29"/>
      <c r="AL68" s="18"/>
      <c r="AM68" s="10"/>
      <c r="AN68" s="10"/>
      <c r="AO68" s="18"/>
      <c r="AP68" s="18"/>
      <c r="AQ68" s="23"/>
      <c r="AR68" s="18"/>
      <c r="AS68" s="10"/>
      <c r="AT68" s="19"/>
      <c r="AU68" s="18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</row>
    <row r="69" spans="1:84" x14ac:dyDescent="0.25">
      <c r="A69" s="10"/>
      <c r="B69" s="10"/>
      <c r="C69" s="12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4"/>
      <c r="X69" s="10"/>
      <c r="Y69" s="10"/>
      <c r="Z69" s="10"/>
      <c r="AA69" s="10"/>
      <c r="AB69" s="10"/>
      <c r="AC69" s="10"/>
      <c r="AD69" s="15"/>
      <c r="AE69" s="8"/>
      <c r="AF69" s="10"/>
      <c r="AG69" s="10"/>
      <c r="AH69" s="9"/>
      <c r="AI69" s="9"/>
      <c r="AJ69" s="10"/>
      <c r="AK69" s="29"/>
      <c r="AL69" s="18"/>
      <c r="AM69" s="10"/>
      <c r="AN69" s="10"/>
      <c r="AO69" s="18"/>
      <c r="AP69" s="18"/>
      <c r="AQ69" s="23"/>
      <c r="AR69" s="18"/>
      <c r="AS69" s="10"/>
      <c r="AT69" s="19"/>
      <c r="AU69" s="18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</row>
    <row r="70" spans="1:84" x14ac:dyDescent="0.25">
      <c r="A70" s="10"/>
      <c r="B70" s="10"/>
      <c r="C70" s="12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4"/>
      <c r="X70" s="10"/>
      <c r="Y70" s="10"/>
      <c r="Z70" s="10"/>
      <c r="AA70" s="10"/>
      <c r="AB70" s="10"/>
      <c r="AC70" s="10"/>
      <c r="AD70" s="15"/>
      <c r="AE70" s="8"/>
      <c r="AF70" s="10"/>
      <c r="AG70" s="10"/>
      <c r="AH70" s="9"/>
      <c r="AI70" s="9"/>
      <c r="AJ70" s="10"/>
      <c r="AK70" s="29"/>
      <c r="AL70" s="18"/>
      <c r="AM70" s="10"/>
      <c r="AN70" s="10"/>
      <c r="AO70" s="18"/>
      <c r="AP70" s="18"/>
      <c r="AQ70" s="23"/>
      <c r="AR70" s="18"/>
      <c r="AS70" s="10"/>
      <c r="AT70" s="19"/>
      <c r="AU70" s="18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</row>
    <row r="71" spans="1:84" x14ac:dyDescent="0.25">
      <c r="A71" s="10"/>
      <c r="B71" s="10"/>
      <c r="C71" s="12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4"/>
      <c r="X71" s="10"/>
      <c r="Y71" s="10"/>
      <c r="Z71" s="10"/>
      <c r="AA71" s="10"/>
      <c r="AB71" s="10"/>
      <c r="AC71" s="10"/>
      <c r="AD71" s="15"/>
      <c r="AE71" s="8"/>
      <c r="AF71" s="10"/>
      <c r="AG71" s="10"/>
      <c r="AH71" s="9"/>
      <c r="AI71" s="9"/>
      <c r="AJ71" s="10"/>
      <c r="AK71" s="29"/>
      <c r="AL71" s="18"/>
      <c r="AM71" s="10"/>
      <c r="AN71" s="10"/>
      <c r="AO71" s="18"/>
      <c r="AP71" s="18"/>
      <c r="AQ71" s="23"/>
      <c r="AR71" s="18"/>
      <c r="AS71" s="10"/>
      <c r="AT71" s="19"/>
      <c r="AU71" s="18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</row>
    <row r="72" spans="1:84" x14ac:dyDescent="0.25">
      <c r="A72" s="10"/>
      <c r="B72" s="10"/>
      <c r="C72" s="12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4"/>
      <c r="X72" s="10"/>
      <c r="Y72" s="10"/>
      <c r="Z72" s="10"/>
      <c r="AA72" s="10"/>
      <c r="AB72" s="10"/>
      <c r="AC72" s="10"/>
      <c r="AD72" s="15"/>
      <c r="AE72" s="8"/>
      <c r="AF72" s="10"/>
      <c r="AG72" s="10"/>
      <c r="AH72" s="9"/>
      <c r="AI72" s="9"/>
      <c r="AJ72" s="10"/>
      <c r="AK72" s="29"/>
      <c r="AL72" s="18"/>
      <c r="AM72" s="10"/>
      <c r="AN72" s="10"/>
      <c r="AO72" s="18"/>
      <c r="AP72" s="18"/>
      <c r="AQ72" s="23"/>
      <c r="AR72" s="18"/>
      <c r="AS72" s="10"/>
      <c r="AT72" s="19"/>
      <c r="AU72" s="18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</row>
    <row r="73" spans="1:84" x14ac:dyDescent="0.25">
      <c r="A73" s="10"/>
      <c r="B73" s="10"/>
      <c r="C73" s="12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4"/>
      <c r="X73" s="10"/>
      <c r="Y73" s="10"/>
      <c r="Z73" s="10"/>
      <c r="AA73" s="10"/>
      <c r="AB73" s="10"/>
      <c r="AC73" s="10"/>
      <c r="AD73" s="15"/>
      <c r="AE73" s="8"/>
      <c r="AF73" s="10"/>
      <c r="AG73" s="10"/>
      <c r="AH73" s="9"/>
      <c r="AI73" s="9"/>
      <c r="AJ73" s="10"/>
      <c r="AK73" s="29"/>
      <c r="AL73" s="18"/>
      <c r="AM73" s="10"/>
      <c r="AN73" s="10"/>
      <c r="AO73" s="18"/>
      <c r="AP73" s="18"/>
      <c r="AQ73" s="23"/>
      <c r="AR73" s="18"/>
      <c r="AS73" s="10"/>
      <c r="AT73" s="19"/>
      <c r="AU73" s="18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</row>
    <row r="74" spans="1:84" x14ac:dyDescent="0.25">
      <c r="A74" s="10"/>
      <c r="B74" s="10"/>
      <c r="C74" s="12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4"/>
      <c r="X74" s="10"/>
      <c r="Y74" s="10"/>
      <c r="Z74" s="10"/>
      <c r="AA74" s="10"/>
      <c r="AB74" s="10"/>
      <c r="AC74" s="10"/>
      <c r="AD74" s="15"/>
      <c r="AE74" s="8"/>
      <c r="AF74" s="10"/>
      <c r="AG74" s="10"/>
      <c r="AH74" s="9"/>
      <c r="AI74" s="9"/>
      <c r="AJ74" s="10"/>
      <c r="AK74" s="29"/>
      <c r="AL74" s="18"/>
      <c r="AM74" s="10"/>
      <c r="AN74" s="10"/>
      <c r="AO74" s="18"/>
      <c r="AP74" s="18"/>
      <c r="AQ74" s="23"/>
      <c r="AR74" s="18"/>
      <c r="AS74" s="10"/>
      <c r="AT74" s="19"/>
      <c r="AU74" s="18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</row>
    <row r="75" spans="1:84" x14ac:dyDescent="0.25">
      <c r="A75" s="10"/>
      <c r="B75" s="10"/>
      <c r="C75" s="12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4"/>
      <c r="X75" s="10"/>
      <c r="Y75" s="10"/>
      <c r="Z75" s="10"/>
      <c r="AA75" s="10"/>
      <c r="AB75" s="10"/>
      <c r="AC75" s="10"/>
      <c r="AD75" s="15"/>
      <c r="AE75" s="8"/>
      <c r="AF75" s="10"/>
      <c r="AG75" s="10"/>
      <c r="AH75" s="9"/>
      <c r="AI75" s="9"/>
      <c r="AJ75" s="10"/>
      <c r="AK75" s="29"/>
      <c r="AL75" s="18"/>
      <c r="AM75" s="10"/>
      <c r="AN75" s="10"/>
      <c r="AO75" s="18"/>
      <c r="AP75" s="18"/>
      <c r="AQ75" s="23"/>
      <c r="AR75" s="18"/>
      <c r="AS75" s="10"/>
      <c r="AT75" s="19"/>
      <c r="AU75" s="18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</row>
    <row r="76" spans="1:84" x14ac:dyDescent="0.25">
      <c r="A76" s="10"/>
      <c r="B76" s="10"/>
      <c r="C76" s="12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4"/>
      <c r="X76" s="10"/>
      <c r="Y76" s="10"/>
      <c r="Z76" s="10"/>
      <c r="AA76" s="10"/>
      <c r="AB76" s="10"/>
      <c r="AC76" s="10"/>
      <c r="AD76" s="15"/>
      <c r="AE76" s="8"/>
      <c r="AF76" s="10"/>
      <c r="AG76" s="10"/>
      <c r="AH76" s="9"/>
      <c r="AI76" s="9"/>
      <c r="AJ76" s="10"/>
      <c r="AK76" s="29"/>
      <c r="AL76" s="18"/>
      <c r="AM76" s="10"/>
      <c r="AN76" s="10"/>
      <c r="AO76" s="18"/>
      <c r="AP76" s="18"/>
      <c r="AQ76" s="23"/>
      <c r="AR76" s="18"/>
      <c r="AS76" s="10"/>
      <c r="AT76" s="19"/>
      <c r="AU76" s="18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</row>
    <row r="77" spans="1:84" x14ac:dyDescent="0.25">
      <c r="A77" s="10"/>
      <c r="B77" s="10"/>
      <c r="C77" s="12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4"/>
      <c r="X77" s="10"/>
      <c r="Y77" s="10"/>
      <c r="Z77" s="10"/>
      <c r="AA77" s="10"/>
      <c r="AB77" s="10"/>
      <c r="AC77" s="10"/>
      <c r="AD77" s="15"/>
      <c r="AE77" s="8"/>
      <c r="AF77" s="10"/>
      <c r="AG77" s="10"/>
      <c r="AH77" s="9"/>
      <c r="AI77" s="9"/>
      <c r="AJ77" s="10"/>
      <c r="AK77" s="29"/>
      <c r="AL77" s="18"/>
      <c r="AM77" s="10"/>
      <c r="AN77" s="10"/>
      <c r="AO77" s="18"/>
      <c r="AP77" s="18"/>
      <c r="AQ77" s="23"/>
      <c r="AR77" s="18"/>
      <c r="AS77" s="10"/>
      <c r="AT77" s="19"/>
      <c r="AU77" s="18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</row>
    <row r="78" spans="1:84" x14ac:dyDescent="0.25">
      <c r="A78" s="10"/>
      <c r="B78" s="10"/>
      <c r="C78" s="12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4"/>
      <c r="X78" s="10"/>
      <c r="Y78" s="10"/>
      <c r="Z78" s="10"/>
      <c r="AA78" s="10"/>
      <c r="AB78" s="10"/>
      <c r="AC78" s="10"/>
      <c r="AD78" s="15"/>
      <c r="AE78" s="8"/>
      <c r="AF78" s="10"/>
      <c r="AG78" s="10"/>
      <c r="AH78" s="9"/>
      <c r="AI78" s="9"/>
      <c r="AJ78" s="10"/>
      <c r="AK78" s="29"/>
      <c r="AL78" s="18"/>
      <c r="AM78" s="10"/>
      <c r="AN78" s="10"/>
      <c r="AO78" s="18"/>
      <c r="AP78" s="18"/>
      <c r="AQ78" s="23"/>
      <c r="AR78" s="18"/>
      <c r="AS78" s="10"/>
      <c r="AT78" s="19"/>
      <c r="AU78" s="18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</row>
    <row r="79" spans="1:84" x14ac:dyDescent="0.25">
      <c r="A79" s="10"/>
      <c r="B79" s="10"/>
      <c r="C79" s="12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4"/>
      <c r="X79" s="10"/>
      <c r="Y79" s="10"/>
      <c r="Z79" s="10"/>
      <c r="AA79" s="10"/>
      <c r="AB79" s="10"/>
      <c r="AC79" s="10"/>
      <c r="AD79" s="15"/>
      <c r="AE79" s="8"/>
      <c r="AF79" s="10"/>
      <c r="AG79" s="10"/>
      <c r="AH79" s="9"/>
      <c r="AI79" s="9"/>
      <c r="AJ79" s="10"/>
      <c r="AK79" s="29"/>
      <c r="AL79" s="18"/>
      <c r="AM79" s="10"/>
      <c r="AN79" s="10"/>
      <c r="AO79" s="18"/>
      <c r="AP79" s="18"/>
      <c r="AQ79" s="23"/>
      <c r="AR79" s="18"/>
      <c r="AS79" s="10"/>
      <c r="AT79" s="19"/>
      <c r="AU79" s="18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</row>
    <row r="80" spans="1:84" x14ac:dyDescent="0.25">
      <c r="A80" s="10"/>
      <c r="B80" s="10"/>
      <c r="C80" s="12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4"/>
      <c r="X80" s="10"/>
      <c r="Y80" s="10"/>
      <c r="Z80" s="10"/>
      <c r="AA80" s="10"/>
      <c r="AB80" s="10"/>
      <c r="AC80" s="10"/>
      <c r="AD80" s="15"/>
      <c r="AE80" s="8"/>
      <c r="AF80" s="10"/>
      <c r="AG80" s="10"/>
      <c r="AH80" s="9"/>
      <c r="AI80" s="9"/>
      <c r="AJ80" s="10"/>
      <c r="AK80" s="29"/>
      <c r="AL80" s="18"/>
      <c r="AM80" s="10"/>
      <c r="AN80" s="10"/>
      <c r="AO80" s="18"/>
      <c r="AP80" s="18"/>
      <c r="AQ80" s="23"/>
      <c r="AR80" s="18"/>
      <c r="AS80" s="10"/>
      <c r="AT80" s="19"/>
      <c r="AU80" s="18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</row>
    <row r="81" spans="1:84" x14ac:dyDescent="0.25">
      <c r="A81" s="10"/>
      <c r="B81" s="10"/>
      <c r="C81" s="12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4"/>
      <c r="X81" s="10"/>
      <c r="Y81" s="10"/>
      <c r="Z81" s="10"/>
      <c r="AA81" s="10"/>
      <c r="AB81" s="10"/>
      <c r="AC81" s="10"/>
      <c r="AD81" s="15"/>
      <c r="AE81" s="8"/>
      <c r="AF81" s="10"/>
      <c r="AG81" s="10"/>
      <c r="AH81" s="9"/>
      <c r="AI81" s="9"/>
      <c r="AJ81" s="10"/>
      <c r="AK81" s="29"/>
      <c r="AL81" s="18"/>
      <c r="AM81" s="10"/>
      <c r="AN81" s="10"/>
      <c r="AO81" s="18"/>
      <c r="AP81" s="18"/>
      <c r="AQ81" s="23"/>
      <c r="AR81" s="18"/>
      <c r="AS81" s="10"/>
      <c r="AT81" s="19"/>
      <c r="AU81" s="18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</row>
    <row r="82" spans="1:84" x14ac:dyDescent="0.25">
      <c r="A82" s="10"/>
      <c r="B82" s="10"/>
      <c r="C82" s="12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4"/>
      <c r="X82" s="10"/>
      <c r="Y82" s="10"/>
      <c r="Z82" s="10"/>
      <c r="AA82" s="10"/>
      <c r="AB82" s="10"/>
      <c r="AC82" s="10"/>
      <c r="AD82" s="15"/>
      <c r="AE82" s="8"/>
      <c r="AF82" s="10"/>
      <c r="AG82" s="10"/>
      <c r="AH82" s="9"/>
      <c r="AI82" s="9"/>
      <c r="AJ82" s="10"/>
      <c r="AK82" s="29"/>
      <c r="AL82" s="18"/>
      <c r="AM82" s="10"/>
      <c r="AN82" s="10"/>
      <c r="AO82" s="18"/>
      <c r="AP82" s="18"/>
      <c r="AQ82" s="23"/>
      <c r="AR82" s="18"/>
      <c r="AS82" s="10"/>
      <c r="AT82" s="19"/>
      <c r="AU82" s="18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</row>
    <row r="83" spans="1:84" x14ac:dyDescent="0.25">
      <c r="A83" s="10"/>
      <c r="B83" s="10"/>
      <c r="C83" s="12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4"/>
      <c r="X83" s="10"/>
      <c r="Y83" s="10"/>
      <c r="Z83" s="10"/>
      <c r="AA83" s="10"/>
      <c r="AB83" s="10"/>
      <c r="AC83" s="10"/>
      <c r="AD83" s="15"/>
      <c r="AE83" s="8"/>
      <c r="AF83" s="10"/>
      <c r="AG83" s="10"/>
      <c r="AH83" s="9"/>
      <c r="AI83" s="9"/>
      <c r="AJ83" s="10"/>
      <c r="AK83" s="29"/>
      <c r="AL83" s="18"/>
      <c r="AM83" s="10"/>
      <c r="AN83" s="10"/>
      <c r="AO83" s="18"/>
      <c r="AP83" s="18"/>
      <c r="AQ83" s="23"/>
      <c r="AR83" s="18"/>
      <c r="AS83" s="10"/>
      <c r="AT83" s="19"/>
      <c r="AU83" s="18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</row>
    <row r="84" spans="1:84" x14ac:dyDescent="0.25">
      <c r="A84" s="10"/>
      <c r="B84" s="10"/>
      <c r="C84" s="12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4"/>
      <c r="X84" s="10"/>
      <c r="Y84" s="10"/>
      <c r="Z84" s="10"/>
      <c r="AA84" s="10"/>
      <c r="AB84" s="10"/>
      <c r="AC84" s="10"/>
      <c r="AD84" s="15"/>
      <c r="AE84" s="8"/>
      <c r="AF84" s="10"/>
      <c r="AG84" s="10"/>
      <c r="AH84" s="9"/>
      <c r="AI84" s="9"/>
      <c r="AJ84" s="10"/>
      <c r="AK84" s="29"/>
      <c r="AL84" s="18"/>
      <c r="AM84" s="10"/>
      <c r="AN84" s="10"/>
      <c r="AO84" s="18"/>
      <c r="AP84" s="18"/>
      <c r="AQ84" s="23"/>
      <c r="AR84" s="18"/>
      <c r="AS84" s="10"/>
      <c r="AT84" s="19"/>
      <c r="AU84" s="18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</row>
    <row r="85" spans="1:84" x14ac:dyDescent="0.25">
      <c r="A85" s="10"/>
      <c r="B85" s="10"/>
      <c r="C85" s="12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4"/>
      <c r="X85" s="10"/>
      <c r="Y85" s="10"/>
      <c r="Z85" s="10"/>
      <c r="AA85" s="10"/>
      <c r="AB85" s="10"/>
      <c r="AC85" s="10"/>
      <c r="AD85" s="15"/>
      <c r="AE85" s="8"/>
      <c r="AF85" s="10"/>
      <c r="AG85" s="10"/>
      <c r="AH85" s="9"/>
      <c r="AI85" s="9"/>
      <c r="AJ85" s="10"/>
      <c r="AK85" s="29"/>
      <c r="AL85" s="18"/>
      <c r="AM85" s="10"/>
      <c r="AN85" s="10"/>
      <c r="AO85" s="18"/>
      <c r="AP85" s="18"/>
      <c r="AQ85" s="23"/>
      <c r="AR85" s="18"/>
      <c r="AS85" s="10"/>
      <c r="AT85" s="19"/>
      <c r="AU85" s="18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</row>
    <row r="86" spans="1:84" x14ac:dyDescent="0.25">
      <c r="A86" s="10"/>
      <c r="B86" s="10"/>
      <c r="C86" s="12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4"/>
      <c r="X86" s="10"/>
      <c r="Y86" s="10"/>
      <c r="Z86" s="10"/>
      <c r="AA86" s="10"/>
      <c r="AB86" s="10"/>
      <c r="AC86" s="10"/>
      <c r="AD86" s="15"/>
      <c r="AE86" s="8"/>
      <c r="AF86" s="10"/>
      <c r="AG86" s="10"/>
      <c r="AH86" s="9"/>
      <c r="AI86" s="9"/>
      <c r="AJ86" s="10"/>
      <c r="AK86" s="29"/>
      <c r="AL86" s="18"/>
      <c r="AM86" s="10"/>
      <c r="AN86" s="10"/>
      <c r="AO86" s="18"/>
      <c r="AP86" s="18"/>
      <c r="AQ86" s="23"/>
      <c r="AR86" s="18"/>
      <c r="AS86" s="10"/>
      <c r="AT86" s="19"/>
      <c r="AU86" s="18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</row>
    <row r="87" spans="1:84" x14ac:dyDescent="0.25">
      <c r="A87" s="10"/>
      <c r="B87" s="10"/>
      <c r="C87" s="12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4"/>
      <c r="X87" s="10"/>
      <c r="Y87" s="10"/>
      <c r="Z87" s="10"/>
      <c r="AA87" s="10"/>
      <c r="AB87" s="10"/>
      <c r="AC87" s="10"/>
      <c r="AD87" s="15"/>
      <c r="AE87" s="8"/>
      <c r="AF87" s="10"/>
      <c r="AG87" s="10"/>
      <c r="AH87" s="9"/>
      <c r="AI87" s="9"/>
      <c r="AJ87" s="10"/>
      <c r="AK87" s="29"/>
      <c r="AL87" s="18"/>
      <c r="AM87" s="10"/>
      <c r="AN87" s="10"/>
      <c r="AO87" s="18"/>
      <c r="AP87" s="18"/>
      <c r="AQ87" s="23"/>
      <c r="AR87" s="18"/>
      <c r="AS87" s="10"/>
      <c r="AT87" s="19"/>
      <c r="AU87" s="18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</row>
    <row r="88" spans="1:84" x14ac:dyDescent="0.25">
      <c r="A88" s="10"/>
      <c r="B88" s="10"/>
      <c r="C88" s="12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4"/>
      <c r="X88" s="10"/>
      <c r="Y88" s="10"/>
      <c r="Z88" s="10"/>
      <c r="AA88" s="10"/>
      <c r="AB88" s="10"/>
      <c r="AC88" s="10"/>
      <c r="AD88" s="15"/>
      <c r="AE88" s="8"/>
      <c r="AF88" s="10"/>
      <c r="AG88" s="10"/>
      <c r="AH88" s="9"/>
      <c r="AI88" s="9"/>
      <c r="AJ88" s="10"/>
      <c r="AK88" s="29"/>
      <c r="AL88" s="18"/>
      <c r="AM88" s="10"/>
      <c r="AN88" s="10"/>
      <c r="AO88" s="18"/>
      <c r="AP88" s="18"/>
      <c r="AQ88" s="23"/>
      <c r="AR88" s="18"/>
      <c r="AS88" s="10"/>
      <c r="AT88" s="19"/>
      <c r="AU88" s="18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</row>
    <row r="89" spans="1:84" x14ac:dyDescent="0.25">
      <c r="A89" s="10"/>
      <c r="B89" s="10"/>
      <c r="C89" s="12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4"/>
      <c r="X89" s="10"/>
      <c r="Y89" s="10"/>
      <c r="Z89" s="10"/>
      <c r="AA89" s="10"/>
      <c r="AB89" s="10"/>
      <c r="AC89" s="10"/>
      <c r="AD89" s="15"/>
      <c r="AE89" s="8"/>
      <c r="AF89" s="10"/>
      <c r="AG89" s="10"/>
      <c r="AH89" s="9"/>
      <c r="AI89" s="9"/>
      <c r="AJ89" s="10"/>
      <c r="AK89" s="29"/>
      <c r="AL89" s="18"/>
      <c r="AM89" s="10"/>
      <c r="AN89" s="10"/>
      <c r="AO89" s="18"/>
      <c r="AP89" s="18"/>
      <c r="AQ89" s="23"/>
      <c r="AR89" s="18"/>
      <c r="AS89" s="10"/>
      <c r="AT89" s="19"/>
      <c r="AU89" s="18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</row>
    <row r="90" spans="1:84" x14ac:dyDescent="0.25">
      <c r="A90" s="10"/>
      <c r="B90" s="10"/>
      <c r="C90" s="12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4"/>
      <c r="X90" s="10"/>
      <c r="Y90" s="10"/>
      <c r="Z90" s="10"/>
      <c r="AA90" s="10"/>
      <c r="AB90" s="10"/>
      <c r="AC90" s="10"/>
      <c r="AD90" s="15"/>
      <c r="AE90" s="8"/>
      <c r="AF90" s="10"/>
      <c r="AG90" s="10"/>
      <c r="AH90" s="9"/>
      <c r="AI90" s="9"/>
      <c r="AJ90" s="10"/>
      <c r="AK90" s="29"/>
      <c r="AL90" s="18"/>
      <c r="AM90" s="10"/>
      <c r="AN90" s="10"/>
      <c r="AO90" s="18"/>
      <c r="AP90" s="18"/>
      <c r="AQ90" s="23"/>
      <c r="AR90" s="18"/>
      <c r="AS90" s="10"/>
      <c r="AT90" s="19"/>
      <c r="AU90" s="18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</row>
    <row r="91" spans="1:84" x14ac:dyDescent="0.25">
      <c r="A91" s="10"/>
      <c r="B91" s="10"/>
      <c r="C91" s="12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4"/>
      <c r="X91" s="10"/>
      <c r="Y91" s="10"/>
      <c r="Z91" s="10"/>
      <c r="AA91" s="10"/>
      <c r="AB91" s="10"/>
      <c r="AC91" s="10"/>
      <c r="AD91" s="15"/>
      <c r="AE91" s="8"/>
      <c r="AF91" s="10"/>
      <c r="AG91" s="10"/>
      <c r="AH91" s="9"/>
      <c r="AI91" s="9"/>
      <c r="AJ91" s="10"/>
      <c r="AK91" s="29"/>
      <c r="AL91" s="18"/>
      <c r="AM91" s="10"/>
      <c r="AN91" s="10"/>
      <c r="AO91" s="18"/>
      <c r="AP91" s="18"/>
      <c r="AQ91" s="23"/>
      <c r="AR91" s="18"/>
      <c r="AS91" s="10"/>
      <c r="AT91" s="19"/>
      <c r="AU91" s="18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</row>
    <row r="92" spans="1:84" x14ac:dyDescent="0.25">
      <c r="A92" s="10"/>
      <c r="B92" s="10"/>
      <c r="C92" s="12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4"/>
      <c r="X92" s="10"/>
      <c r="Y92" s="10"/>
      <c r="Z92" s="10"/>
      <c r="AA92" s="10"/>
      <c r="AB92" s="10"/>
      <c r="AC92" s="10"/>
      <c r="AD92" s="15"/>
      <c r="AE92" s="8"/>
      <c r="AF92" s="10"/>
      <c r="AG92" s="10"/>
      <c r="AH92" s="9"/>
      <c r="AI92" s="9"/>
      <c r="AJ92" s="10"/>
      <c r="AK92" s="29"/>
      <c r="AL92" s="18"/>
      <c r="AM92" s="10"/>
      <c r="AN92" s="10"/>
      <c r="AO92" s="18"/>
      <c r="AP92" s="18"/>
      <c r="AQ92" s="23"/>
      <c r="AR92" s="18"/>
      <c r="AS92" s="10"/>
      <c r="AT92" s="19"/>
      <c r="AU92" s="18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</row>
    <row r="93" spans="1:84" x14ac:dyDescent="0.25">
      <c r="A93" s="10"/>
      <c r="B93" s="10"/>
      <c r="C93" s="12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4"/>
      <c r="X93" s="10"/>
      <c r="Y93" s="10"/>
      <c r="Z93" s="10"/>
      <c r="AA93" s="10"/>
      <c r="AB93" s="10"/>
      <c r="AC93" s="10"/>
      <c r="AD93" s="15"/>
      <c r="AE93" s="8"/>
      <c r="AF93" s="10"/>
      <c r="AG93" s="10"/>
      <c r="AH93" s="9"/>
      <c r="AI93" s="9"/>
      <c r="AJ93" s="10"/>
      <c r="AK93" s="29"/>
      <c r="AL93" s="18"/>
      <c r="AM93" s="10"/>
      <c r="AN93" s="10"/>
      <c r="AO93" s="18"/>
      <c r="AP93" s="18"/>
      <c r="AQ93" s="23"/>
      <c r="AR93" s="18"/>
      <c r="AS93" s="10"/>
      <c r="AT93" s="19"/>
      <c r="AU93" s="18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</row>
    <row r="94" spans="1:84" x14ac:dyDescent="0.25">
      <c r="A94" s="10"/>
      <c r="B94" s="10"/>
      <c r="C94" s="12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4"/>
      <c r="X94" s="10"/>
      <c r="Y94" s="10"/>
      <c r="Z94" s="10"/>
      <c r="AA94" s="10"/>
      <c r="AB94" s="10"/>
      <c r="AC94" s="10"/>
      <c r="AD94" s="15"/>
      <c r="AE94" s="8"/>
      <c r="AF94" s="10"/>
      <c r="AG94" s="10"/>
      <c r="AH94" s="9"/>
      <c r="AI94" s="9"/>
      <c r="AJ94" s="10"/>
      <c r="AK94" s="29"/>
      <c r="AL94" s="18"/>
      <c r="AM94" s="10"/>
      <c r="AN94" s="10"/>
      <c r="AO94" s="18"/>
      <c r="AP94" s="18"/>
      <c r="AQ94" s="23"/>
      <c r="AR94" s="18"/>
      <c r="AS94" s="10"/>
      <c r="AT94" s="19"/>
      <c r="AU94" s="18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</row>
    <row r="95" spans="1:84" x14ac:dyDescent="0.25">
      <c r="A95" s="10"/>
      <c r="B95" s="10"/>
      <c r="C95" s="12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4"/>
      <c r="X95" s="10"/>
      <c r="Y95" s="10"/>
      <c r="Z95" s="10"/>
      <c r="AA95" s="10"/>
      <c r="AB95" s="10"/>
      <c r="AC95" s="10"/>
      <c r="AD95" s="15"/>
      <c r="AE95" s="8"/>
      <c r="AF95" s="10"/>
      <c r="AG95" s="10"/>
      <c r="AH95" s="9"/>
      <c r="AI95" s="9"/>
      <c r="AJ95" s="10"/>
      <c r="AK95" s="29"/>
      <c r="AL95" s="18"/>
      <c r="AM95" s="10"/>
      <c r="AN95" s="10"/>
      <c r="AO95" s="18"/>
      <c r="AP95" s="18"/>
      <c r="AQ95" s="23"/>
      <c r="AR95" s="18"/>
      <c r="AS95" s="10"/>
      <c r="AT95" s="19"/>
      <c r="AU95" s="18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</row>
    <row r="96" spans="1:84" x14ac:dyDescent="0.25">
      <c r="A96" s="10"/>
      <c r="B96" s="10"/>
      <c r="C96" s="12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4"/>
      <c r="X96" s="10"/>
      <c r="Y96" s="10"/>
      <c r="Z96" s="10"/>
      <c r="AA96" s="10"/>
      <c r="AB96" s="10"/>
      <c r="AC96" s="10"/>
      <c r="AD96" s="15"/>
      <c r="AE96" s="8"/>
      <c r="AF96" s="10"/>
      <c r="AG96" s="10"/>
      <c r="AH96" s="9"/>
      <c r="AI96" s="9"/>
      <c r="AJ96" s="10"/>
      <c r="AK96" s="29"/>
      <c r="AL96" s="18"/>
      <c r="AM96" s="10"/>
      <c r="AN96" s="10"/>
      <c r="AO96" s="18"/>
      <c r="AP96" s="18"/>
      <c r="AQ96" s="23"/>
      <c r="AR96" s="18"/>
      <c r="AS96" s="10"/>
      <c r="AT96" s="19"/>
      <c r="AU96" s="18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</row>
    <row r="97" spans="1:84" x14ac:dyDescent="0.25">
      <c r="A97" s="10"/>
      <c r="B97" s="10"/>
      <c r="C97" s="12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4"/>
      <c r="X97" s="10"/>
      <c r="Y97" s="10"/>
      <c r="Z97" s="10"/>
      <c r="AA97" s="10"/>
      <c r="AB97" s="10"/>
      <c r="AC97" s="10"/>
      <c r="AD97" s="15"/>
      <c r="AE97" s="8"/>
      <c r="AF97" s="10"/>
      <c r="AG97" s="10"/>
      <c r="AH97" s="9"/>
      <c r="AI97" s="9"/>
      <c r="AJ97" s="10"/>
      <c r="AK97" s="29"/>
      <c r="AL97" s="18"/>
      <c r="AM97" s="10"/>
      <c r="AN97" s="10"/>
      <c r="AO97" s="18"/>
      <c r="AP97" s="18"/>
      <c r="AQ97" s="23"/>
      <c r="AR97" s="18"/>
      <c r="AS97" s="10"/>
      <c r="AT97" s="19"/>
      <c r="AU97" s="18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</row>
    <row r="98" spans="1:84" x14ac:dyDescent="0.25">
      <c r="A98" s="10"/>
      <c r="B98" s="10"/>
      <c r="C98" s="12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4"/>
      <c r="X98" s="10"/>
      <c r="Y98" s="10"/>
      <c r="Z98" s="10"/>
      <c r="AA98" s="10"/>
      <c r="AB98" s="10"/>
      <c r="AC98" s="10"/>
      <c r="AD98" s="15"/>
      <c r="AE98" s="8"/>
      <c r="AF98" s="10"/>
      <c r="AG98" s="10"/>
      <c r="AH98" s="9"/>
      <c r="AI98" s="9"/>
      <c r="AJ98" s="10"/>
      <c r="AK98" s="29"/>
      <c r="AL98" s="18"/>
      <c r="AM98" s="10"/>
      <c r="AN98" s="10"/>
      <c r="AO98" s="18"/>
      <c r="AP98" s="18"/>
      <c r="AQ98" s="23"/>
      <c r="AR98" s="18"/>
      <c r="AS98" s="10"/>
      <c r="AT98" s="19"/>
      <c r="AU98" s="18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</row>
    <row r="99" spans="1:84" x14ac:dyDescent="0.25">
      <c r="A99" s="10"/>
      <c r="B99" s="10"/>
      <c r="C99" s="12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4"/>
      <c r="X99" s="10"/>
      <c r="Y99" s="10"/>
      <c r="Z99" s="10"/>
      <c r="AA99" s="10"/>
      <c r="AB99" s="10"/>
      <c r="AC99" s="10"/>
      <c r="AD99" s="15"/>
      <c r="AE99" s="8"/>
      <c r="AF99" s="10"/>
      <c r="AG99" s="10"/>
      <c r="AH99" s="9"/>
      <c r="AI99" s="9"/>
      <c r="AJ99" s="10"/>
      <c r="AK99" s="29"/>
      <c r="AL99" s="18"/>
      <c r="AM99" s="10"/>
      <c r="AN99" s="10"/>
      <c r="AO99" s="18"/>
      <c r="AP99" s="18"/>
      <c r="AQ99" s="23"/>
      <c r="AR99" s="18"/>
      <c r="AS99" s="10"/>
      <c r="AT99" s="19"/>
      <c r="AU99" s="18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</row>
    <row r="100" spans="1:84" x14ac:dyDescent="0.25">
      <c r="A100" s="10"/>
      <c r="B100" s="10"/>
      <c r="C100" s="12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4"/>
      <c r="X100" s="10"/>
      <c r="Y100" s="10"/>
      <c r="Z100" s="10"/>
      <c r="AA100" s="10"/>
      <c r="AB100" s="10"/>
      <c r="AC100" s="10"/>
      <c r="AD100" s="15"/>
      <c r="AE100" s="8"/>
      <c r="AF100" s="10"/>
      <c r="AG100" s="10"/>
      <c r="AH100" s="9"/>
      <c r="AI100" s="9"/>
      <c r="AJ100" s="10"/>
      <c r="AK100" s="29"/>
      <c r="AL100" s="18"/>
      <c r="AM100" s="10"/>
      <c r="AN100" s="10"/>
      <c r="AO100" s="18"/>
      <c r="AP100" s="18"/>
      <c r="AQ100" s="23"/>
      <c r="AR100" s="18"/>
      <c r="AS100" s="10"/>
      <c r="AT100" s="19"/>
      <c r="AU100" s="18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</row>
    <row r="101" spans="1:84" x14ac:dyDescent="0.25">
      <c r="A101" s="10"/>
      <c r="B101" s="10"/>
      <c r="C101" s="12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4"/>
      <c r="X101" s="10"/>
      <c r="Y101" s="10"/>
      <c r="Z101" s="10"/>
      <c r="AA101" s="10"/>
      <c r="AB101" s="10"/>
      <c r="AC101" s="10"/>
      <c r="AD101" s="15"/>
      <c r="AE101" s="8"/>
      <c r="AF101" s="10"/>
      <c r="AG101" s="10"/>
      <c r="AH101" s="9"/>
      <c r="AI101" s="9"/>
      <c r="AJ101" s="10"/>
      <c r="AK101" s="29"/>
      <c r="AL101" s="18"/>
      <c r="AM101" s="10"/>
      <c r="AN101" s="10"/>
      <c r="AO101" s="18"/>
      <c r="AP101" s="18"/>
      <c r="AQ101" s="23"/>
      <c r="AR101" s="18"/>
      <c r="AS101" s="10"/>
      <c r="AT101" s="19"/>
      <c r="AU101" s="18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</row>
    <row r="102" spans="1:84" x14ac:dyDescent="0.25">
      <c r="A102" s="10"/>
      <c r="B102" s="10"/>
      <c r="C102" s="12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4"/>
      <c r="X102" s="10"/>
      <c r="Y102" s="10"/>
      <c r="Z102" s="10"/>
      <c r="AA102" s="10"/>
      <c r="AB102" s="10"/>
      <c r="AC102" s="10"/>
      <c r="AD102" s="15"/>
      <c r="AE102" s="8"/>
      <c r="AF102" s="10"/>
      <c r="AG102" s="10"/>
      <c r="AH102" s="9"/>
      <c r="AI102" s="9"/>
      <c r="AJ102" s="10"/>
      <c r="AK102" s="29"/>
      <c r="AL102" s="18"/>
      <c r="AM102" s="10"/>
      <c r="AN102" s="10"/>
      <c r="AO102" s="18"/>
      <c r="AP102" s="18"/>
      <c r="AQ102" s="23"/>
      <c r="AR102" s="18"/>
      <c r="AS102" s="10"/>
      <c r="AT102" s="19"/>
      <c r="AU102" s="18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</row>
    <row r="103" spans="1:84" x14ac:dyDescent="0.25">
      <c r="A103" s="10"/>
      <c r="B103" s="10"/>
      <c r="C103" s="12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4"/>
      <c r="X103" s="10"/>
      <c r="Y103" s="10"/>
      <c r="Z103" s="10"/>
      <c r="AA103" s="10"/>
      <c r="AB103" s="10"/>
      <c r="AC103" s="10"/>
      <c r="AD103" s="15"/>
      <c r="AE103" s="8"/>
      <c r="AF103" s="10"/>
      <c r="AG103" s="10"/>
      <c r="AH103" s="9"/>
      <c r="AI103" s="9"/>
      <c r="AJ103" s="10"/>
      <c r="AK103" s="29"/>
      <c r="AL103" s="18"/>
      <c r="AM103" s="10"/>
      <c r="AN103" s="10"/>
      <c r="AO103" s="18"/>
      <c r="AP103" s="18"/>
      <c r="AQ103" s="23"/>
      <c r="AR103" s="18"/>
      <c r="AS103" s="10"/>
      <c r="AT103" s="19"/>
      <c r="AU103" s="18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</row>
    <row r="104" spans="1:84" x14ac:dyDescent="0.25">
      <c r="A104" s="10"/>
      <c r="B104" s="10"/>
      <c r="C104" s="12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4"/>
      <c r="X104" s="10"/>
      <c r="Y104" s="10"/>
      <c r="Z104" s="10"/>
      <c r="AA104" s="10"/>
      <c r="AB104" s="10"/>
      <c r="AC104" s="10"/>
      <c r="AD104" s="15"/>
      <c r="AE104" s="8"/>
      <c r="AF104" s="10"/>
      <c r="AG104" s="10"/>
      <c r="AH104" s="9"/>
      <c r="AI104" s="9"/>
      <c r="AJ104" s="10"/>
      <c r="AK104" s="29"/>
      <c r="AL104" s="18"/>
      <c r="AM104" s="10"/>
      <c r="AN104" s="10"/>
      <c r="AO104" s="18"/>
      <c r="AP104" s="18"/>
      <c r="AQ104" s="23"/>
      <c r="AR104" s="18"/>
      <c r="AS104" s="10"/>
      <c r="AT104" s="19"/>
      <c r="AU104" s="18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</row>
    <row r="105" spans="1:84" x14ac:dyDescent="0.25">
      <c r="A105" s="10"/>
      <c r="B105" s="10"/>
      <c r="C105" s="12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4"/>
      <c r="X105" s="10"/>
      <c r="Y105" s="10"/>
      <c r="Z105" s="10"/>
      <c r="AA105" s="10"/>
      <c r="AB105" s="10"/>
      <c r="AC105" s="10"/>
      <c r="AD105" s="15"/>
      <c r="AE105" s="8"/>
      <c r="AF105" s="10"/>
      <c r="AG105" s="10"/>
      <c r="AH105" s="9"/>
      <c r="AI105" s="9"/>
      <c r="AJ105" s="10"/>
      <c r="AK105" s="29"/>
      <c r="AL105" s="18"/>
      <c r="AM105" s="10"/>
      <c r="AN105" s="10"/>
      <c r="AO105" s="18"/>
      <c r="AP105" s="18"/>
      <c r="AQ105" s="23"/>
      <c r="AR105" s="18"/>
      <c r="AS105" s="10"/>
      <c r="AT105" s="19"/>
      <c r="AU105" s="18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</row>
    <row r="106" spans="1:84" x14ac:dyDescent="0.25">
      <c r="A106" s="10"/>
      <c r="B106" s="10"/>
      <c r="C106" s="12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4"/>
      <c r="X106" s="10"/>
      <c r="Y106" s="10"/>
      <c r="Z106" s="10"/>
      <c r="AA106" s="10"/>
      <c r="AB106" s="10"/>
      <c r="AC106" s="10"/>
      <c r="AD106" s="15"/>
      <c r="AE106" s="8"/>
      <c r="AF106" s="10"/>
      <c r="AG106" s="10"/>
      <c r="AH106" s="9"/>
      <c r="AI106" s="9"/>
      <c r="AJ106" s="10"/>
      <c r="AK106" s="29"/>
      <c r="AL106" s="18"/>
      <c r="AM106" s="10"/>
      <c r="AN106" s="10"/>
      <c r="AO106" s="18"/>
      <c r="AP106" s="18"/>
      <c r="AQ106" s="23"/>
      <c r="AR106" s="18"/>
      <c r="AS106" s="10"/>
      <c r="AT106" s="19"/>
      <c r="AU106" s="18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</row>
    <row r="107" spans="1:84" x14ac:dyDescent="0.25">
      <c r="A107" s="10"/>
      <c r="B107" s="10"/>
      <c r="C107" s="12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4"/>
      <c r="X107" s="10"/>
      <c r="Y107" s="10"/>
      <c r="Z107" s="10"/>
      <c r="AA107" s="10"/>
      <c r="AB107" s="10"/>
      <c r="AC107" s="10"/>
      <c r="AD107" s="15"/>
      <c r="AE107" s="8"/>
      <c r="AF107" s="10"/>
      <c r="AG107" s="10"/>
      <c r="AH107" s="9"/>
      <c r="AI107" s="9"/>
      <c r="AJ107" s="10"/>
      <c r="AK107" s="29"/>
      <c r="AL107" s="18"/>
      <c r="AM107" s="10"/>
      <c r="AN107" s="10"/>
      <c r="AO107" s="18"/>
      <c r="AP107" s="18"/>
      <c r="AQ107" s="23"/>
      <c r="AR107" s="18"/>
      <c r="AS107" s="10"/>
      <c r="AT107" s="19"/>
      <c r="AU107" s="18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</row>
    <row r="108" spans="1:84" x14ac:dyDescent="0.25">
      <c r="A108" s="10"/>
      <c r="B108" s="10"/>
      <c r="C108" s="12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4"/>
      <c r="X108" s="10"/>
      <c r="Y108" s="10"/>
      <c r="Z108" s="10"/>
      <c r="AA108" s="10"/>
      <c r="AB108" s="10"/>
      <c r="AC108" s="10"/>
      <c r="AD108" s="15"/>
      <c r="AE108" s="8"/>
      <c r="AF108" s="10"/>
      <c r="AG108" s="10"/>
      <c r="AH108" s="9"/>
      <c r="AI108" s="9"/>
      <c r="AJ108" s="10"/>
      <c r="AK108" s="29"/>
      <c r="AL108" s="18"/>
      <c r="AM108" s="10"/>
      <c r="AN108" s="10"/>
      <c r="AO108" s="18"/>
      <c r="AP108" s="18"/>
      <c r="AQ108" s="23"/>
      <c r="AR108" s="18"/>
      <c r="AS108" s="10"/>
      <c r="AT108" s="19"/>
      <c r="AU108" s="18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</row>
    <row r="109" spans="1:84" x14ac:dyDescent="0.25">
      <c r="A109" s="10"/>
      <c r="B109" s="10"/>
      <c r="C109" s="12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4"/>
      <c r="X109" s="10"/>
      <c r="Y109" s="10"/>
      <c r="Z109" s="10"/>
      <c r="AA109" s="10"/>
      <c r="AB109" s="10"/>
      <c r="AC109" s="10"/>
      <c r="AD109" s="15"/>
      <c r="AE109" s="8"/>
      <c r="AF109" s="10"/>
      <c r="AG109" s="10"/>
      <c r="AH109" s="9"/>
      <c r="AI109" s="9"/>
      <c r="AJ109" s="10"/>
      <c r="AK109" s="29"/>
      <c r="AL109" s="18"/>
      <c r="AM109" s="10"/>
      <c r="AN109" s="10"/>
      <c r="AO109" s="18"/>
      <c r="AP109" s="18"/>
      <c r="AQ109" s="23"/>
      <c r="AR109" s="18"/>
      <c r="AS109" s="10"/>
      <c r="AT109" s="19"/>
      <c r="AU109" s="18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</row>
    <row r="110" spans="1:84" x14ac:dyDescent="0.25">
      <c r="A110" s="10"/>
      <c r="B110" s="10"/>
      <c r="C110" s="12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4"/>
      <c r="X110" s="10"/>
      <c r="Y110" s="10"/>
      <c r="Z110" s="10"/>
      <c r="AA110" s="10"/>
      <c r="AB110" s="10"/>
      <c r="AC110" s="10"/>
      <c r="AD110" s="15"/>
      <c r="AE110" s="8"/>
      <c r="AF110" s="10"/>
      <c r="AG110" s="10"/>
      <c r="AH110" s="9"/>
      <c r="AI110" s="9"/>
      <c r="AJ110" s="10"/>
      <c r="AK110" s="29"/>
      <c r="AL110" s="18"/>
      <c r="AM110" s="10"/>
      <c r="AN110" s="10"/>
      <c r="AO110" s="18"/>
      <c r="AP110" s="18"/>
      <c r="AQ110" s="23"/>
      <c r="AR110" s="18"/>
      <c r="AS110" s="10"/>
      <c r="AT110" s="19"/>
      <c r="AU110" s="18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</row>
    <row r="111" spans="1:84" x14ac:dyDescent="0.25">
      <c r="A111" s="10"/>
      <c r="B111" s="10"/>
      <c r="C111" s="12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4"/>
      <c r="X111" s="10"/>
      <c r="Y111" s="10"/>
      <c r="Z111" s="10"/>
      <c r="AA111" s="10"/>
      <c r="AB111" s="10"/>
      <c r="AC111" s="10"/>
      <c r="AD111" s="15"/>
      <c r="AE111" s="8"/>
      <c r="AF111" s="10"/>
      <c r="AG111" s="10"/>
      <c r="AH111" s="9"/>
      <c r="AI111" s="9"/>
      <c r="AJ111" s="10"/>
      <c r="AK111" s="29"/>
      <c r="AL111" s="18"/>
      <c r="AM111" s="10"/>
      <c r="AN111" s="10"/>
      <c r="AO111" s="18"/>
      <c r="AP111" s="18"/>
      <c r="AQ111" s="23"/>
      <c r="AR111" s="18"/>
      <c r="AS111" s="10"/>
      <c r="AT111" s="19"/>
      <c r="AU111" s="18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</row>
    <row r="112" spans="1:84" x14ac:dyDescent="0.25">
      <c r="A112" s="10"/>
      <c r="B112" s="10"/>
      <c r="C112" s="12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4"/>
      <c r="X112" s="10"/>
      <c r="Y112" s="10"/>
      <c r="Z112" s="10"/>
      <c r="AA112" s="10"/>
      <c r="AB112" s="10"/>
      <c r="AC112" s="10"/>
      <c r="AD112" s="15"/>
      <c r="AE112" s="8"/>
      <c r="AF112" s="10"/>
      <c r="AG112" s="10"/>
      <c r="AH112" s="9"/>
      <c r="AI112" s="9"/>
      <c r="AJ112" s="10"/>
      <c r="AK112" s="29"/>
      <c r="AL112" s="18"/>
      <c r="AM112" s="10"/>
      <c r="AN112" s="10"/>
      <c r="AO112" s="18"/>
      <c r="AP112" s="18"/>
      <c r="AQ112" s="23"/>
      <c r="AR112" s="18"/>
      <c r="AS112" s="10"/>
      <c r="AT112" s="19"/>
      <c r="AU112" s="18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</row>
    <row r="113" spans="1:84" x14ac:dyDescent="0.25">
      <c r="A113" s="10"/>
      <c r="B113" s="10"/>
      <c r="C113" s="12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4"/>
      <c r="X113" s="10"/>
      <c r="Y113" s="10"/>
      <c r="Z113" s="10"/>
      <c r="AA113" s="10"/>
      <c r="AB113" s="10"/>
      <c r="AC113" s="10"/>
      <c r="AD113" s="15"/>
      <c r="AE113" s="8"/>
      <c r="AF113" s="10"/>
      <c r="AG113" s="10"/>
      <c r="AH113" s="9"/>
      <c r="AI113" s="9"/>
      <c r="AJ113" s="10"/>
      <c r="AK113" s="29"/>
      <c r="AL113" s="18"/>
      <c r="AM113" s="10"/>
      <c r="AN113" s="10"/>
      <c r="AO113" s="18"/>
      <c r="AP113" s="18"/>
      <c r="AQ113" s="23"/>
      <c r="AR113" s="18"/>
      <c r="AS113" s="10"/>
      <c r="AT113" s="19"/>
      <c r="AU113" s="18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</row>
    <row r="114" spans="1:84" x14ac:dyDescent="0.25">
      <c r="A114" s="10"/>
      <c r="B114" s="10"/>
      <c r="C114" s="12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4"/>
      <c r="X114" s="10"/>
      <c r="Y114" s="10"/>
      <c r="Z114" s="10"/>
      <c r="AA114" s="10"/>
      <c r="AB114" s="10"/>
      <c r="AC114" s="10"/>
      <c r="AD114" s="15"/>
      <c r="AE114" s="8"/>
      <c r="AF114" s="10"/>
      <c r="AG114" s="10"/>
      <c r="AH114" s="9"/>
      <c r="AI114" s="9"/>
      <c r="AJ114" s="10"/>
      <c r="AK114" s="29"/>
      <c r="AL114" s="18"/>
      <c r="AM114" s="10"/>
      <c r="AN114" s="10"/>
      <c r="AO114" s="18"/>
      <c r="AP114" s="18"/>
      <c r="AQ114" s="23"/>
      <c r="AR114" s="18"/>
      <c r="AS114" s="10"/>
      <c r="AT114" s="19"/>
      <c r="AU114" s="18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</row>
    <row r="115" spans="1:84" x14ac:dyDescent="0.25">
      <c r="A115" s="10"/>
      <c r="B115" s="10"/>
      <c r="C115" s="12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4"/>
      <c r="X115" s="10"/>
      <c r="Y115" s="10"/>
      <c r="Z115" s="10"/>
      <c r="AA115" s="10"/>
      <c r="AB115" s="10"/>
      <c r="AC115" s="10"/>
      <c r="AD115" s="15"/>
      <c r="AE115" s="8"/>
      <c r="AF115" s="10"/>
      <c r="AG115" s="10"/>
      <c r="AH115" s="9"/>
      <c r="AI115" s="9"/>
      <c r="AJ115" s="10"/>
      <c r="AK115" s="29"/>
      <c r="AL115" s="18"/>
      <c r="AM115" s="10"/>
      <c r="AN115" s="10"/>
      <c r="AO115" s="18"/>
      <c r="AP115" s="18"/>
      <c r="AQ115" s="23"/>
      <c r="AR115" s="18"/>
      <c r="AS115" s="10"/>
      <c r="AT115" s="19"/>
      <c r="AU115" s="18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</row>
    <row r="116" spans="1:84" x14ac:dyDescent="0.25">
      <c r="A116" s="10"/>
      <c r="B116" s="10"/>
      <c r="C116" s="12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4"/>
      <c r="X116" s="10"/>
      <c r="Y116" s="10"/>
      <c r="Z116" s="10"/>
      <c r="AA116" s="10"/>
      <c r="AB116" s="10"/>
      <c r="AC116" s="10"/>
      <c r="AD116" s="15"/>
      <c r="AE116" s="8"/>
      <c r="AF116" s="10"/>
      <c r="AG116" s="10"/>
      <c r="AH116" s="9"/>
      <c r="AI116" s="9"/>
      <c r="AJ116" s="10"/>
      <c r="AK116" s="29"/>
      <c r="AL116" s="18"/>
      <c r="AM116" s="10"/>
      <c r="AN116" s="10"/>
      <c r="AO116" s="18"/>
      <c r="AP116" s="18"/>
      <c r="AQ116" s="23"/>
      <c r="AR116" s="18"/>
      <c r="AS116" s="10"/>
      <c r="AT116" s="19"/>
      <c r="AU116" s="18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</row>
    <row r="117" spans="1:84" x14ac:dyDescent="0.25">
      <c r="A117" s="10"/>
      <c r="B117" s="10"/>
      <c r="C117" s="12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4"/>
      <c r="X117" s="10"/>
      <c r="Y117" s="10"/>
      <c r="Z117" s="10"/>
      <c r="AA117" s="10"/>
      <c r="AB117" s="10"/>
      <c r="AC117" s="10"/>
      <c r="AD117" s="15"/>
      <c r="AE117" s="8"/>
      <c r="AF117" s="10"/>
      <c r="AG117" s="10"/>
      <c r="AH117" s="9"/>
      <c r="AI117" s="9"/>
      <c r="AJ117" s="10"/>
      <c r="AK117" s="29"/>
      <c r="AL117" s="18"/>
      <c r="AM117" s="10"/>
      <c r="AN117" s="10"/>
      <c r="AO117" s="18"/>
      <c r="AP117" s="18"/>
      <c r="AQ117" s="23"/>
      <c r="AR117" s="18"/>
      <c r="AS117" s="10"/>
      <c r="AT117" s="19"/>
      <c r="AU117" s="18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</row>
    <row r="118" spans="1:84" x14ac:dyDescent="0.25">
      <c r="A118" s="10"/>
      <c r="B118" s="10"/>
      <c r="C118" s="12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4"/>
      <c r="X118" s="10"/>
      <c r="Y118" s="10"/>
      <c r="Z118" s="10"/>
      <c r="AA118" s="10"/>
      <c r="AB118" s="10"/>
      <c r="AC118" s="10"/>
      <c r="AD118" s="15"/>
      <c r="AE118" s="8"/>
      <c r="AF118" s="10"/>
      <c r="AG118" s="10"/>
      <c r="AH118" s="9"/>
      <c r="AI118" s="9"/>
      <c r="AJ118" s="10"/>
      <c r="AK118" s="29"/>
      <c r="AL118" s="18"/>
      <c r="AM118" s="10"/>
      <c r="AN118" s="10"/>
      <c r="AO118" s="18"/>
      <c r="AP118" s="18"/>
      <c r="AQ118" s="23"/>
      <c r="AR118" s="18"/>
      <c r="AS118" s="10"/>
      <c r="AT118" s="19"/>
      <c r="AU118" s="18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</row>
    <row r="119" spans="1:84" x14ac:dyDescent="0.25">
      <c r="A119" s="10"/>
      <c r="B119" s="10"/>
      <c r="C119" s="12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4"/>
      <c r="X119" s="10"/>
      <c r="Y119" s="10"/>
      <c r="Z119" s="10"/>
      <c r="AA119" s="10"/>
      <c r="AB119" s="10"/>
      <c r="AC119" s="10"/>
      <c r="AD119" s="15"/>
      <c r="AE119" s="8"/>
      <c r="AF119" s="10"/>
      <c r="AG119" s="10"/>
      <c r="AH119" s="9"/>
      <c r="AI119" s="9"/>
      <c r="AJ119" s="10"/>
      <c r="AK119" s="29"/>
      <c r="AL119" s="18"/>
      <c r="AM119" s="10"/>
      <c r="AN119" s="10"/>
      <c r="AO119" s="18"/>
      <c r="AP119" s="18"/>
      <c r="AQ119" s="23"/>
      <c r="AR119" s="18"/>
      <c r="AS119" s="10"/>
      <c r="AT119" s="19"/>
      <c r="AU119" s="18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</row>
    <row r="120" spans="1:84" x14ac:dyDescent="0.25">
      <c r="A120" s="10"/>
      <c r="B120" s="10"/>
      <c r="C120" s="12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4"/>
      <c r="X120" s="10"/>
      <c r="Y120" s="10"/>
      <c r="Z120" s="10"/>
      <c r="AA120" s="10"/>
      <c r="AB120" s="10"/>
      <c r="AC120" s="10"/>
      <c r="AD120" s="15"/>
      <c r="AE120" s="8"/>
      <c r="AF120" s="10"/>
      <c r="AG120" s="10"/>
      <c r="AH120" s="9"/>
      <c r="AI120" s="9"/>
      <c r="AJ120" s="10"/>
      <c r="AK120" s="29"/>
      <c r="AL120" s="18"/>
      <c r="AM120" s="10"/>
      <c r="AN120" s="10"/>
      <c r="AO120" s="18"/>
      <c r="AP120" s="18"/>
      <c r="AQ120" s="23"/>
      <c r="AR120" s="18"/>
      <c r="AS120" s="10"/>
      <c r="AT120" s="19"/>
      <c r="AU120" s="18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</row>
    <row r="121" spans="1:84" x14ac:dyDescent="0.25">
      <c r="A121" s="10"/>
      <c r="B121" s="10"/>
      <c r="C121" s="12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4"/>
      <c r="X121" s="10"/>
      <c r="Y121" s="10"/>
      <c r="Z121" s="10"/>
      <c r="AA121" s="10"/>
      <c r="AB121" s="10"/>
      <c r="AC121" s="10"/>
      <c r="AD121" s="15"/>
      <c r="AE121" s="8"/>
      <c r="AF121" s="10"/>
      <c r="AG121" s="10"/>
      <c r="AH121" s="9"/>
      <c r="AI121" s="9"/>
      <c r="AJ121" s="10"/>
      <c r="AK121" s="29"/>
      <c r="AL121" s="18"/>
      <c r="AM121" s="10"/>
      <c r="AN121" s="10"/>
      <c r="AO121" s="18"/>
      <c r="AP121" s="18"/>
      <c r="AQ121" s="23"/>
      <c r="AR121" s="18"/>
      <c r="AS121" s="10"/>
      <c r="AT121" s="19"/>
      <c r="AU121" s="18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</row>
    <row r="122" spans="1:84" x14ac:dyDescent="0.25">
      <c r="A122" s="10"/>
      <c r="B122" s="10"/>
      <c r="C122" s="12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4"/>
      <c r="X122" s="10"/>
      <c r="Y122" s="10"/>
      <c r="Z122" s="10"/>
      <c r="AA122" s="10"/>
      <c r="AB122" s="10"/>
      <c r="AC122" s="10"/>
      <c r="AD122" s="15"/>
      <c r="AE122" s="8"/>
      <c r="AF122" s="10"/>
      <c r="AG122" s="10"/>
      <c r="AH122" s="9"/>
      <c r="AI122" s="9"/>
      <c r="AJ122" s="10"/>
      <c r="AK122" s="29"/>
      <c r="AL122" s="18"/>
      <c r="AM122" s="10"/>
      <c r="AN122" s="10"/>
      <c r="AO122" s="18"/>
      <c r="AP122" s="18"/>
      <c r="AQ122" s="23"/>
      <c r="AR122" s="18"/>
      <c r="AS122" s="10"/>
      <c r="AT122" s="19"/>
      <c r="AU122" s="18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</row>
    <row r="123" spans="1:84" x14ac:dyDescent="0.25">
      <c r="A123" s="10"/>
      <c r="B123" s="10"/>
      <c r="C123" s="12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4"/>
      <c r="X123" s="10"/>
      <c r="Y123" s="10"/>
      <c r="Z123" s="10"/>
      <c r="AA123" s="10"/>
      <c r="AB123" s="10"/>
      <c r="AC123" s="10"/>
      <c r="AD123" s="15"/>
      <c r="AE123" s="8"/>
      <c r="AF123" s="10"/>
      <c r="AG123" s="10"/>
      <c r="AH123" s="9"/>
      <c r="AI123" s="9"/>
      <c r="AJ123" s="10"/>
      <c r="AK123" s="29"/>
      <c r="AL123" s="18"/>
      <c r="AM123" s="10"/>
      <c r="AN123" s="10"/>
      <c r="AO123" s="18"/>
      <c r="AP123" s="18"/>
      <c r="AQ123" s="23"/>
      <c r="AR123" s="18"/>
      <c r="AS123" s="10"/>
      <c r="AT123" s="19"/>
      <c r="AU123" s="18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</row>
    <row r="124" spans="1:84" x14ac:dyDescent="0.25">
      <c r="A124" s="10"/>
      <c r="B124" s="10"/>
      <c r="C124" s="12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4"/>
      <c r="X124" s="10"/>
      <c r="Y124" s="10"/>
      <c r="Z124" s="10"/>
      <c r="AA124" s="10"/>
      <c r="AB124" s="10"/>
      <c r="AC124" s="10"/>
      <c r="AD124" s="15"/>
      <c r="AE124" s="8"/>
      <c r="AF124" s="10"/>
      <c r="AG124" s="10"/>
      <c r="AH124" s="9"/>
      <c r="AI124" s="9"/>
      <c r="AJ124" s="10"/>
      <c r="AK124" s="29"/>
      <c r="AL124" s="18"/>
      <c r="AM124" s="10"/>
      <c r="AN124" s="10"/>
      <c r="AO124" s="18"/>
      <c r="AP124" s="18"/>
      <c r="AQ124" s="23"/>
      <c r="AR124" s="18"/>
      <c r="AS124" s="10"/>
      <c r="AT124" s="19"/>
      <c r="AU124" s="18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</row>
    <row r="125" spans="1:84" x14ac:dyDescent="0.25">
      <c r="A125" s="10"/>
      <c r="B125" s="10"/>
      <c r="C125" s="12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4"/>
      <c r="X125" s="10"/>
      <c r="Y125" s="10"/>
      <c r="Z125" s="10"/>
      <c r="AA125" s="10"/>
      <c r="AB125" s="10"/>
      <c r="AC125" s="10"/>
      <c r="AD125" s="15"/>
      <c r="AE125" s="8"/>
      <c r="AF125" s="10"/>
      <c r="AG125" s="10"/>
      <c r="AH125" s="9"/>
      <c r="AI125" s="9"/>
      <c r="AJ125" s="10"/>
      <c r="AK125" s="29"/>
      <c r="AL125" s="18"/>
      <c r="AM125" s="10"/>
      <c r="AN125" s="10"/>
      <c r="AO125" s="18"/>
      <c r="AP125" s="18"/>
      <c r="AQ125" s="23"/>
      <c r="AR125" s="18"/>
      <c r="AS125" s="10"/>
      <c r="AT125" s="19"/>
      <c r="AU125" s="18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</row>
    <row r="126" spans="1:84" x14ac:dyDescent="0.25">
      <c r="A126" s="10"/>
      <c r="B126" s="10"/>
      <c r="C126" s="12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4"/>
      <c r="X126" s="10"/>
      <c r="Y126" s="10"/>
      <c r="Z126" s="10"/>
      <c r="AA126" s="10"/>
      <c r="AB126" s="10"/>
      <c r="AC126" s="10"/>
      <c r="AD126" s="15"/>
      <c r="AE126" s="8"/>
      <c r="AF126" s="10"/>
      <c r="AG126" s="10"/>
      <c r="AH126" s="9"/>
      <c r="AI126" s="9"/>
      <c r="AJ126" s="10"/>
      <c r="AK126" s="29"/>
      <c r="AL126" s="18"/>
      <c r="AM126" s="10"/>
      <c r="AN126" s="10"/>
      <c r="AO126" s="18"/>
      <c r="AP126" s="18"/>
      <c r="AQ126" s="23"/>
      <c r="AR126" s="18"/>
      <c r="AS126" s="10"/>
      <c r="AT126" s="19"/>
      <c r="AU126" s="18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</row>
    <row r="127" spans="1:84" x14ac:dyDescent="0.25">
      <c r="A127" s="10"/>
      <c r="B127" s="10"/>
      <c r="C127" s="12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4"/>
      <c r="X127" s="10"/>
      <c r="Y127" s="10"/>
      <c r="Z127" s="10"/>
      <c r="AA127" s="10"/>
      <c r="AB127" s="10"/>
      <c r="AC127" s="10"/>
      <c r="AD127" s="15"/>
      <c r="AE127" s="8"/>
      <c r="AF127" s="10"/>
      <c r="AG127" s="10"/>
      <c r="AH127" s="9"/>
      <c r="AI127" s="9"/>
      <c r="AJ127" s="10"/>
      <c r="AK127" s="29"/>
      <c r="AL127" s="18"/>
      <c r="AM127" s="10"/>
      <c r="AN127" s="10"/>
      <c r="AO127" s="18"/>
      <c r="AP127" s="18"/>
      <c r="AQ127" s="23"/>
      <c r="AR127" s="18"/>
      <c r="AS127" s="10"/>
      <c r="AT127" s="19"/>
      <c r="AU127" s="18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</row>
    <row r="128" spans="1:84" x14ac:dyDescent="0.25">
      <c r="A128" s="10"/>
      <c r="B128" s="10"/>
      <c r="C128" s="12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4"/>
      <c r="X128" s="10"/>
      <c r="Y128" s="10"/>
      <c r="Z128" s="10"/>
      <c r="AA128" s="10"/>
      <c r="AB128" s="10"/>
      <c r="AC128" s="10"/>
      <c r="AD128" s="15"/>
      <c r="AE128" s="8"/>
      <c r="AF128" s="10"/>
      <c r="AG128" s="10"/>
      <c r="AH128" s="9"/>
      <c r="AI128" s="9"/>
      <c r="AJ128" s="10"/>
      <c r="AK128" s="29"/>
      <c r="AL128" s="18"/>
      <c r="AM128" s="10"/>
      <c r="AN128" s="10"/>
      <c r="AO128" s="18"/>
      <c r="AP128" s="18"/>
      <c r="AQ128" s="23"/>
      <c r="AR128" s="18"/>
      <c r="AS128" s="10"/>
      <c r="AT128" s="19"/>
      <c r="AU128" s="18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</row>
    <row r="129" spans="1:84" x14ac:dyDescent="0.25">
      <c r="A129" s="10"/>
      <c r="B129" s="10"/>
      <c r="C129" s="12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4"/>
      <c r="X129" s="10"/>
      <c r="Y129" s="10"/>
      <c r="Z129" s="10"/>
      <c r="AA129" s="10"/>
      <c r="AB129" s="10"/>
      <c r="AC129" s="10"/>
      <c r="AD129" s="15"/>
      <c r="AE129" s="8"/>
      <c r="AF129" s="10"/>
      <c r="AG129" s="10"/>
      <c r="AH129" s="9"/>
      <c r="AI129" s="9"/>
      <c r="AJ129" s="10"/>
      <c r="AK129" s="29"/>
      <c r="AL129" s="18"/>
      <c r="AM129" s="10"/>
      <c r="AN129" s="10"/>
      <c r="AO129" s="18"/>
      <c r="AP129" s="18"/>
      <c r="AQ129" s="23"/>
      <c r="AR129" s="18"/>
      <c r="AS129" s="10"/>
      <c r="AT129" s="19"/>
      <c r="AU129" s="18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</row>
    <row r="130" spans="1:84" x14ac:dyDescent="0.25">
      <c r="A130" s="10"/>
      <c r="B130" s="10"/>
      <c r="C130" s="12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4"/>
      <c r="X130" s="10"/>
      <c r="Y130" s="10"/>
      <c r="Z130" s="10"/>
      <c r="AA130" s="10"/>
      <c r="AB130" s="10"/>
      <c r="AC130" s="10"/>
      <c r="AD130" s="15"/>
      <c r="AE130" s="8"/>
      <c r="AF130" s="10"/>
      <c r="AG130" s="10"/>
      <c r="AH130" s="9"/>
      <c r="AI130" s="9"/>
      <c r="AJ130" s="10"/>
      <c r="AK130" s="29"/>
      <c r="AL130" s="18"/>
      <c r="AM130" s="10"/>
      <c r="AN130" s="10"/>
      <c r="AO130" s="18"/>
      <c r="AP130" s="18"/>
      <c r="AQ130" s="23"/>
      <c r="AR130" s="18"/>
      <c r="AS130" s="10"/>
      <c r="AT130" s="19"/>
      <c r="AU130" s="18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</row>
    <row r="131" spans="1:84" x14ac:dyDescent="0.25">
      <c r="A131" s="10"/>
      <c r="B131" s="10"/>
      <c r="C131" s="12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4"/>
      <c r="X131" s="10"/>
      <c r="Y131" s="10"/>
      <c r="Z131" s="10"/>
      <c r="AA131" s="10"/>
      <c r="AB131" s="10"/>
      <c r="AC131" s="10"/>
      <c r="AD131" s="15"/>
      <c r="AE131" s="8"/>
      <c r="AF131" s="10"/>
      <c r="AG131" s="10"/>
      <c r="AH131" s="9"/>
      <c r="AI131" s="9"/>
      <c r="AJ131" s="10"/>
      <c r="AK131" s="29"/>
      <c r="AL131" s="18"/>
      <c r="AM131" s="10"/>
      <c r="AN131" s="10"/>
      <c r="AO131" s="18"/>
      <c r="AP131" s="18"/>
      <c r="AQ131" s="23"/>
      <c r="AR131" s="18"/>
      <c r="AS131" s="10"/>
      <c r="AT131" s="19"/>
      <c r="AU131" s="18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</row>
    <row r="132" spans="1:84" x14ac:dyDescent="0.25">
      <c r="A132" s="10"/>
      <c r="B132" s="10"/>
      <c r="C132" s="12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4"/>
      <c r="X132" s="10"/>
      <c r="Y132" s="10"/>
      <c r="Z132" s="10"/>
      <c r="AA132" s="10"/>
      <c r="AB132" s="10"/>
      <c r="AC132" s="10"/>
      <c r="AD132" s="15"/>
      <c r="AE132" s="8"/>
      <c r="AF132" s="10"/>
      <c r="AG132" s="10"/>
      <c r="AH132" s="9"/>
      <c r="AI132" s="9"/>
      <c r="AJ132" s="10"/>
      <c r="AK132" s="29"/>
      <c r="AL132" s="18"/>
      <c r="AM132" s="10"/>
      <c r="AN132" s="10"/>
      <c r="AO132" s="18"/>
      <c r="AP132" s="18"/>
      <c r="AQ132" s="23"/>
      <c r="AR132" s="18"/>
      <c r="AS132" s="10"/>
      <c r="AT132" s="19"/>
      <c r="AU132" s="18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</row>
    <row r="133" spans="1:84" x14ac:dyDescent="0.25">
      <c r="A133" s="10"/>
      <c r="B133" s="10"/>
      <c r="C133" s="12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4"/>
      <c r="X133" s="10"/>
      <c r="Y133" s="10"/>
      <c r="Z133" s="10"/>
      <c r="AA133" s="10"/>
      <c r="AB133" s="10"/>
      <c r="AC133" s="10"/>
      <c r="AD133" s="15"/>
      <c r="AE133" s="8"/>
      <c r="AF133" s="10"/>
      <c r="AG133" s="10"/>
      <c r="AH133" s="9"/>
      <c r="AI133" s="9"/>
      <c r="AJ133" s="10"/>
      <c r="AK133" s="29"/>
      <c r="AL133" s="18"/>
      <c r="AM133" s="10"/>
      <c r="AN133" s="10"/>
      <c r="AO133" s="18"/>
      <c r="AP133" s="18"/>
      <c r="AQ133" s="23"/>
      <c r="AR133" s="18"/>
      <c r="AS133" s="10"/>
      <c r="AT133" s="19"/>
      <c r="AU133" s="18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</row>
    <row r="134" spans="1:84" x14ac:dyDescent="0.25">
      <c r="A134" s="10"/>
      <c r="B134" s="10"/>
      <c r="C134" s="12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4"/>
      <c r="X134" s="10"/>
      <c r="Y134" s="10"/>
      <c r="Z134" s="10"/>
      <c r="AA134" s="10"/>
      <c r="AB134" s="10"/>
      <c r="AC134" s="10"/>
      <c r="AD134" s="15"/>
      <c r="AE134" s="8"/>
      <c r="AF134" s="10"/>
      <c r="AG134" s="10"/>
      <c r="AH134" s="9"/>
      <c r="AI134" s="9"/>
      <c r="AJ134" s="10"/>
      <c r="AK134" s="29"/>
      <c r="AL134" s="18"/>
      <c r="AM134" s="10"/>
      <c r="AN134" s="10"/>
      <c r="AO134" s="18"/>
      <c r="AP134" s="18"/>
      <c r="AQ134" s="23"/>
      <c r="AR134" s="18"/>
      <c r="AS134" s="10"/>
      <c r="AT134" s="19"/>
      <c r="AU134" s="18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</row>
    <row r="135" spans="1:84" x14ac:dyDescent="0.25">
      <c r="A135" s="10"/>
      <c r="B135" s="10"/>
      <c r="C135" s="12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4"/>
      <c r="X135" s="10"/>
      <c r="Y135" s="10"/>
      <c r="Z135" s="10"/>
      <c r="AA135" s="10"/>
      <c r="AB135" s="10"/>
      <c r="AC135" s="10"/>
      <c r="AD135" s="15"/>
      <c r="AE135" s="8"/>
      <c r="AF135" s="10"/>
      <c r="AG135" s="10"/>
      <c r="AH135" s="9"/>
      <c r="AI135" s="9"/>
      <c r="AJ135" s="10"/>
      <c r="AK135" s="29"/>
      <c r="AL135" s="18"/>
      <c r="AM135" s="10"/>
      <c r="AN135" s="10"/>
      <c r="AO135" s="18"/>
      <c r="AP135" s="18"/>
      <c r="AQ135" s="23"/>
      <c r="AR135" s="18"/>
      <c r="AS135" s="10"/>
      <c r="AT135" s="19"/>
      <c r="AU135" s="18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</row>
    <row r="136" spans="1:84" x14ac:dyDescent="0.25">
      <c r="A136" s="10"/>
      <c r="B136" s="10"/>
      <c r="C136" s="12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4"/>
      <c r="X136" s="10"/>
      <c r="Y136" s="10"/>
      <c r="Z136" s="10"/>
      <c r="AA136" s="10"/>
      <c r="AB136" s="10"/>
      <c r="AC136" s="10"/>
      <c r="AD136" s="15"/>
      <c r="AE136" s="8"/>
      <c r="AF136" s="10"/>
      <c r="AG136" s="10"/>
      <c r="AH136" s="9"/>
      <c r="AI136" s="9"/>
      <c r="AJ136" s="10"/>
      <c r="AK136" s="29"/>
      <c r="AL136" s="18"/>
      <c r="AM136" s="10"/>
      <c r="AN136" s="10"/>
      <c r="AO136" s="18"/>
      <c r="AP136" s="18"/>
      <c r="AQ136" s="23"/>
      <c r="AR136" s="18"/>
      <c r="AS136" s="10"/>
      <c r="AT136" s="19"/>
      <c r="AU136" s="18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</row>
    <row r="137" spans="1:84" x14ac:dyDescent="0.25">
      <c r="A137" s="10"/>
      <c r="B137" s="10"/>
      <c r="C137" s="12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4"/>
      <c r="X137" s="10"/>
      <c r="Y137" s="10"/>
      <c r="Z137" s="10"/>
      <c r="AA137" s="10"/>
      <c r="AB137" s="10"/>
      <c r="AC137" s="10"/>
      <c r="AD137" s="15"/>
      <c r="AE137" s="8"/>
      <c r="AF137" s="10"/>
      <c r="AG137" s="10"/>
      <c r="AH137" s="9"/>
      <c r="AI137" s="9"/>
      <c r="AJ137" s="10"/>
      <c r="AK137" s="29"/>
      <c r="AL137" s="18"/>
      <c r="AM137" s="10"/>
      <c r="AN137" s="10"/>
      <c r="AO137" s="18"/>
      <c r="AP137" s="18"/>
      <c r="AQ137" s="23"/>
      <c r="AR137" s="18"/>
      <c r="AS137" s="10"/>
      <c r="AT137" s="19"/>
      <c r="AU137" s="18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</row>
    <row r="138" spans="1:84" x14ac:dyDescent="0.25">
      <c r="A138" s="10"/>
      <c r="B138" s="10"/>
      <c r="C138" s="12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4"/>
      <c r="X138" s="10"/>
      <c r="Y138" s="10"/>
      <c r="Z138" s="10"/>
      <c r="AA138" s="10"/>
      <c r="AB138" s="10"/>
      <c r="AC138" s="10"/>
      <c r="AD138" s="15"/>
      <c r="AE138" s="8"/>
      <c r="AF138" s="10"/>
      <c r="AG138" s="10"/>
      <c r="AH138" s="9"/>
      <c r="AI138" s="9"/>
      <c r="AJ138" s="10"/>
      <c r="AK138" s="29"/>
      <c r="AL138" s="18"/>
      <c r="AM138" s="10"/>
      <c r="AN138" s="10"/>
      <c r="AO138" s="18"/>
      <c r="AP138" s="18"/>
      <c r="AQ138" s="23"/>
      <c r="AR138" s="18"/>
      <c r="AS138" s="10"/>
      <c r="AT138" s="19"/>
      <c r="AU138" s="18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</row>
    <row r="139" spans="1:84" x14ac:dyDescent="0.25">
      <c r="A139" s="10"/>
      <c r="B139" s="10"/>
      <c r="C139" s="12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4"/>
      <c r="X139" s="10"/>
      <c r="Y139" s="10"/>
      <c r="Z139" s="10"/>
      <c r="AA139" s="10"/>
      <c r="AB139" s="10"/>
      <c r="AC139" s="10"/>
      <c r="AD139" s="15"/>
      <c r="AE139" s="8"/>
      <c r="AF139" s="10"/>
      <c r="AG139" s="10"/>
      <c r="AH139" s="9"/>
      <c r="AI139" s="9"/>
      <c r="AJ139" s="10"/>
      <c r="AK139" s="29"/>
      <c r="AL139" s="18"/>
      <c r="AM139" s="10"/>
      <c r="AN139" s="10"/>
      <c r="AO139" s="18"/>
      <c r="AP139" s="18"/>
      <c r="AQ139" s="23"/>
      <c r="AR139" s="18"/>
      <c r="AS139" s="10"/>
      <c r="AT139" s="19"/>
      <c r="AU139" s="18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</row>
    <row r="140" spans="1:84" x14ac:dyDescent="0.25">
      <c r="A140" s="10"/>
      <c r="B140" s="10"/>
      <c r="C140" s="12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4"/>
      <c r="X140" s="10"/>
      <c r="Y140" s="10"/>
      <c r="Z140" s="10"/>
      <c r="AA140" s="10"/>
      <c r="AB140" s="10"/>
      <c r="AC140" s="10"/>
      <c r="AD140" s="15"/>
      <c r="AE140" s="8"/>
      <c r="AF140" s="10"/>
      <c r="AG140" s="10"/>
      <c r="AH140" s="9"/>
      <c r="AI140" s="9"/>
      <c r="AJ140" s="10"/>
      <c r="AK140" s="29"/>
      <c r="AL140" s="18"/>
      <c r="AM140" s="10"/>
      <c r="AN140" s="10"/>
      <c r="AO140" s="18"/>
      <c r="AP140" s="18"/>
      <c r="AQ140" s="23"/>
      <c r="AR140" s="18"/>
      <c r="AS140" s="10"/>
      <c r="AT140" s="19"/>
      <c r="AU140" s="18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</row>
    <row r="141" spans="1:84" x14ac:dyDescent="0.25">
      <c r="A141" s="10"/>
      <c r="B141" s="10"/>
      <c r="C141" s="12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4"/>
      <c r="X141" s="10"/>
      <c r="Y141" s="10"/>
      <c r="Z141" s="10"/>
      <c r="AA141" s="10"/>
      <c r="AB141" s="10"/>
      <c r="AC141" s="10"/>
      <c r="AD141" s="15"/>
      <c r="AE141" s="8"/>
      <c r="AF141" s="10"/>
      <c r="AG141" s="10"/>
      <c r="AH141" s="9"/>
      <c r="AI141" s="9"/>
      <c r="AJ141" s="10"/>
      <c r="AK141" s="29"/>
      <c r="AL141" s="18"/>
      <c r="AM141" s="10"/>
      <c r="AN141" s="10"/>
      <c r="AO141" s="18"/>
      <c r="AP141" s="18"/>
      <c r="AQ141" s="23"/>
      <c r="AR141" s="18"/>
      <c r="AS141" s="10"/>
      <c r="AT141" s="19"/>
      <c r="AU141" s="18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</row>
    <row r="142" spans="1:84" x14ac:dyDescent="0.25">
      <c r="A142" s="10"/>
      <c r="B142" s="10"/>
      <c r="C142" s="12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4"/>
      <c r="X142" s="10"/>
      <c r="Y142" s="10"/>
      <c r="Z142" s="10"/>
      <c r="AA142" s="10"/>
      <c r="AB142" s="10"/>
      <c r="AC142" s="10"/>
      <c r="AD142" s="15"/>
      <c r="AE142" s="8"/>
      <c r="AF142" s="10"/>
      <c r="AG142" s="10"/>
      <c r="AH142" s="9"/>
      <c r="AI142" s="9"/>
      <c r="AJ142" s="10"/>
      <c r="AK142" s="29"/>
      <c r="AL142" s="18"/>
      <c r="AM142" s="10"/>
      <c r="AN142" s="10"/>
      <c r="AO142" s="18"/>
      <c r="AP142" s="18"/>
      <c r="AQ142" s="23"/>
      <c r="AR142" s="18"/>
      <c r="AS142" s="10"/>
      <c r="AT142" s="19"/>
      <c r="AU142" s="18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</row>
    <row r="143" spans="1:84" x14ac:dyDescent="0.25">
      <c r="A143" s="10"/>
      <c r="B143" s="10"/>
      <c r="C143" s="12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4"/>
      <c r="X143" s="10"/>
      <c r="Y143" s="10"/>
      <c r="Z143" s="10"/>
      <c r="AA143" s="10"/>
      <c r="AB143" s="10"/>
      <c r="AC143" s="10"/>
      <c r="AD143" s="15"/>
      <c r="AE143" s="8"/>
      <c r="AF143" s="10"/>
      <c r="AG143" s="10"/>
      <c r="AH143" s="9"/>
      <c r="AI143" s="9"/>
      <c r="AJ143" s="10"/>
      <c r="AK143" s="29"/>
      <c r="AL143" s="18"/>
      <c r="AM143" s="10"/>
      <c r="AN143" s="10"/>
      <c r="AO143" s="18"/>
      <c r="AP143" s="18"/>
      <c r="AQ143" s="23"/>
      <c r="AR143" s="18"/>
      <c r="AS143" s="10"/>
      <c r="AT143" s="19"/>
      <c r="AU143" s="18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</row>
    <row r="144" spans="1:84" x14ac:dyDescent="0.25">
      <c r="A144" s="10"/>
      <c r="B144" s="10"/>
      <c r="C144" s="12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4"/>
      <c r="X144" s="10"/>
      <c r="Y144" s="10"/>
      <c r="Z144" s="10"/>
      <c r="AA144" s="10"/>
      <c r="AB144" s="10"/>
      <c r="AC144" s="10"/>
      <c r="AD144" s="15"/>
      <c r="AE144" s="8"/>
      <c r="AF144" s="10"/>
      <c r="AG144" s="10"/>
      <c r="AH144" s="9"/>
      <c r="AI144" s="9"/>
      <c r="AJ144" s="10"/>
      <c r="AK144" s="29"/>
      <c r="AL144" s="18"/>
      <c r="AM144" s="10"/>
      <c r="AN144" s="10"/>
      <c r="AO144" s="18"/>
      <c r="AP144" s="18"/>
      <c r="AQ144" s="23"/>
      <c r="AR144" s="18"/>
      <c r="AS144" s="10"/>
      <c r="AT144" s="19"/>
      <c r="AU144" s="18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</row>
    <row r="145" spans="1:84" x14ac:dyDescent="0.25">
      <c r="A145" s="10"/>
      <c r="B145" s="10"/>
      <c r="C145" s="12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4"/>
      <c r="X145" s="10"/>
      <c r="Y145" s="10"/>
      <c r="Z145" s="10"/>
      <c r="AA145" s="10"/>
      <c r="AB145" s="10"/>
      <c r="AC145" s="10"/>
      <c r="AD145" s="15"/>
      <c r="AE145" s="8"/>
      <c r="AF145" s="10"/>
      <c r="AG145" s="10"/>
      <c r="AH145" s="9"/>
      <c r="AI145" s="9"/>
      <c r="AJ145" s="10"/>
      <c r="AK145" s="29"/>
      <c r="AL145" s="18"/>
      <c r="AM145" s="10"/>
      <c r="AN145" s="10"/>
      <c r="AO145" s="18"/>
      <c r="AP145" s="18"/>
      <c r="AQ145" s="23"/>
      <c r="AR145" s="18"/>
      <c r="AS145" s="10"/>
      <c r="AT145" s="19"/>
      <c r="AU145" s="18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</row>
    <row r="146" spans="1:84" x14ac:dyDescent="0.25">
      <c r="A146" s="10"/>
      <c r="B146" s="10"/>
      <c r="C146" s="12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4"/>
      <c r="X146" s="10"/>
      <c r="Y146" s="10"/>
      <c r="Z146" s="10"/>
      <c r="AA146" s="10"/>
      <c r="AB146" s="10"/>
      <c r="AC146" s="10"/>
      <c r="AD146" s="15"/>
      <c r="AE146" s="8"/>
      <c r="AF146" s="10"/>
      <c r="AG146" s="10"/>
      <c r="AH146" s="9"/>
      <c r="AI146" s="9"/>
      <c r="AJ146" s="10"/>
      <c r="AK146" s="29"/>
      <c r="AL146" s="18"/>
      <c r="AM146" s="10"/>
      <c r="AN146" s="10"/>
      <c r="AO146" s="18"/>
      <c r="AP146" s="18"/>
      <c r="AQ146" s="23"/>
      <c r="AR146" s="18"/>
      <c r="AS146" s="10"/>
      <c r="AT146" s="19"/>
      <c r="AU146" s="18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</row>
    <row r="147" spans="1:84" x14ac:dyDescent="0.25">
      <c r="A147" s="10"/>
      <c r="B147" s="10"/>
      <c r="C147" s="12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4"/>
      <c r="X147" s="10"/>
      <c r="Y147" s="10"/>
      <c r="Z147" s="10"/>
      <c r="AA147" s="10"/>
      <c r="AB147" s="10"/>
      <c r="AC147" s="10"/>
      <c r="AD147" s="15"/>
      <c r="AE147" s="8"/>
      <c r="AF147" s="10"/>
      <c r="AG147" s="10"/>
      <c r="AH147" s="9"/>
      <c r="AI147" s="9"/>
      <c r="AJ147" s="10"/>
      <c r="AK147" s="29"/>
      <c r="AL147" s="18"/>
      <c r="AM147" s="10"/>
      <c r="AN147" s="10"/>
      <c r="AO147" s="18"/>
      <c r="AP147" s="18"/>
      <c r="AQ147" s="23"/>
      <c r="AR147" s="18"/>
      <c r="AS147" s="10"/>
      <c r="AT147" s="19"/>
      <c r="AU147" s="18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</row>
    <row r="148" spans="1:84" x14ac:dyDescent="0.25">
      <c r="A148" s="10"/>
      <c r="B148" s="10"/>
      <c r="C148" s="12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4"/>
      <c r="X148" s="10"/>
      <c r="Y148" s="10"/>
      <c r="Z148" s="10"/>
      <c r="AA148" s="10"/>
      <c r="AB148" s="10"/>
      <c r="AC148" s="10"/>
      <c r="AD148" s="15"/>
      <c r="AE148" s="8"/>
      <c r="AF148" s="10"/>
      <c r="AG148" s="10"/>
      <c r="AH148" s="9"/>
      <c r="AI148" s="9"/>
      <c r="AJ148" s="10"/>
      <c r="AK148" s="29"/>
      <c r="AL148" s="18"/>
      <c r="AM148" s="10"/>
      <c r="AN148" s="10"/>
      <c r="AO148" s="18"/>
      <c r="AP148" s="18"/>
      <c r="AQ148" s="23"/>
      <c r="AR148" s="18"/>
      <c r="AS148" s="10"/>
      <c r="AT148" s="19"/>
      <c r="AU148" s="18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</row>
    <row r="149" spans="1:84" x14ac:dyDescent="0.25">
      <c r="A149" s="10"/>
      <c r="B149" s="10"/>
      <c r="C149" s="12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4"/>
      <c r="X149" s="10"/>
      <c r="Y149" s="10"/>
      <c r="Z149" s="10"/>
      <c r="AA149" s="10"/>
      <c r="AB149" s="10"/>
      <c r="AC149" s="10"/>
      <c r="AD149" s="15"/>
      <c r="AE149" s="8"/>
      <c r="AF149" s="10"/>
      <c r="AG149" s="10"/>
      <c r="AH149" s="9"/>
      <c r="AI149" s="9"/>
      <c r="AJ149" s="10"/>
      <c r="AK149" s="29"/>
      <c r="AL149" s="18"/>
      <c r="AM149" s="10"/>
      <c r="AN149" s="10"/>
      <c r="AO149" s="18"/>
      <c r="AP149" s="18"/>
      <c r="AQ149" s="23"/>
      <c r="AR149" s="18"/>
      <c r="AS149" s="10"/>
      <c r="AT149" s="19"/>
      <c r="AU149" s="18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</row>
    <row r="150" spans="1:84" x14ac:dyDescent="0.25">
      <c r="A150" s="10"/>
      <c r="B150" s="10"/>
      <c r="C150" s="12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4"/>
      <c r="X150" s="10"/>
      <c r="Y150" s="10"/>
      <c r="Z150" s="10"/>
      <c r="AA150" s="10"/>
      <c r="AB150" s="10"/>
      <c r="AC150" s="10"/>
      <c r="AD150" s="15"/>
      <c r="AE150" s="8"/>
      <c r="AF150" s="10"/>
      <c r="AG150" s="10"/>
      <c r="AH150" s="9"/>
      <c r="AI150" s="9"/>
      <c r="AJ150" s="10"/>
      <c r="AK150" s="29"/>
      <c r="AL150" s="18"/>
      <c r="AM150" s="10"/>
      <c r="AN150" s="10"/>
      <c r="AO150" s="18"/>
      <c r="AP150" s="18"/>
      <c r="AQ150" s="23"/>
      <c r="AR150" s="18"/>
      <c r="AS150" s="10"/>
      <c r="AT150" s="19"/>
      <c r="AU150" s="18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</row>
    <row r="151" spans="1:84" x14ac:dyDescent="0.25">
      <c r="A151" s="10"/>
      <c r="B151" s="10"/>
      <c r="C151" s="12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4"/>
      <c r="X151" s="10"/>
      <c r="Y151" s="10"/>
      <c r="Z151" s="10"/>
      <c r="AA151" s="10"/>
      <c r="AB151" s="10"/>
      <c r="AC151" s="10"/>
      <c r="AD151" s="15"/>
      <c r="AE151" s="8"/>
      <c r="AF151" s="10"/>
      <c r="AG151" s="10"/>
      <c r="AH151" s="9"/>
      <c r="AI151" s="9"/>
      <c r="AJ151" s="10"/>
      <c r="AK151" s="29"/>
      <c r="AL151" s="18"/>
      <c r="AM151" s="10"/>
      <c r="AN151" s="10"/>
      <c r="AO151" s="18"/>
      <c r="AP151" s="18"/>
      <c r="AQ151" s="23"/>
      <c r="AR151" s="18"/>
      <c r="AS151" s="10"/>
      <c r="AT151" s="19"/>
      <c r="AU151" s="18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</row>
    <row r="152" spans="1:84" x14ac:dyDescent="0.25">
      <c r="A152" s="10"/>
      <c r="B152" s="10"/>
      <c r="C152" s="12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4"/>
      <c r="X152" s="10"/>
      <c r="Y152" s="10"/>
      <c r="Z152" s="10"/>
      <c r="AA152" s="10"/>
      <c r="AB152" s="10"/>
      <c r="AC152" s="10"/>
      <c r="AD152" s="15"/>
      <c r="AE152" s="8"/>
      <c r="AF152" s="10"/>
      <c r="AG152" s="10"/>
      <c r="AH152" s="9"/>
      <c r="AI152" s="9"/>
      <c r="AJ152" s="10"/>
      <c r="AK152" s="29"/>
      <c r="AL152" s="18"/>
      <c r="AM152" s="10"/>
      <c r="AN152" s="10"/>
      <c r="AO152" s="18"/>
      <c r="AP152" s="18"/>
      <c r="AQ152" s="23"/>
      <c r="AR152" s="18"/>
      <c r="AS152" s="10"/>
      <c r="AT152" s="19"/>
      <c r="AU152" s="18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</row>
    <row r="153" spans="1:84" x14ac:dyDescent="0.25">
      <c r="A153" s="10"/>
      <c r="B153" s="10"/>
      <c r="C153" s="12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4"/>
      <c r="X153" s="10"/>
      <c r="Y153" s="10"/>
      <c r="Z153" s="10"/>
      <c r="AA153" s="10"/>
      <c r="AB153" s="10"/>
      <c r="AC153" s="10"/>
      <c r="AD153" s="15"/>
      <c r="AE153" s="8"/>
      <c r="AF153" s="10"/>
      <c r="AG153" s="10"/>
      <c r="AH153" s="9"/>
      <c r="AI153" s="9"/>
      <c r="AJ153" s="10"/>
      <c r="AK153" s="29"/>
      <c r="AL153" s="18"/>
      <c r="AM153" s="10"/>
      <c r="AN153" s="10"/>
      <c r="AO153" s="18"/>
      <c r="AP153" s="18"/>
      <c r="AQ153" s="23"/>
      <c r="AR153" s="18"/>
      <c r="AS153" s="10"/>
      <c r="AT153" s="19"/>
      <c r="AU153" s="18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</row>
    <row r="154" spans="1:84" x14ac:dyDescent="0.25">
      <c r="A154" s="10"/>
      <c r="B154" s="10"/>
      <c r="C154" s="12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4"/>
      <c r="X154" s="10"/>
      <c r="Y154" s="10"/>
      <c r="Z154" s="10"/>
      <c r="AA154" s="10"/>
      <c r="AB154" s="10"/>
      <c r="AC154" s="10"/>
      <c r="AD154" s="15"/>
      <c r="AE154" s="8"/>
      <c r="AF154" s="10"/>
      <c r="AG154" s="10"/>
      <c r="AH154" s="9"/>
      <c r="AI154" s="9"/>
      <c r="AJ154" s="10"/>
      <c r="AK154" s="29"/>
      <c r="AL154" s="18"/>
      <c r="AM154" s="10"/>
      <c r="AN154" s="10"/>
      <c r="AO154" s="18"/>
      <c r="AP154" s="18"/>
      <c r="AQ154" s="23"/>
      <c r="AR154" s="18"/>
      <c r="AS154" s="10"/>
      <c r="AT154" s="19"/>
      <c r="AU154" s="18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</row>
    <row r="155" spans="1:84" x14ac:dyDescent="0.25">
      <c r="A155" s="10"/>
      <c r="B155" s="10"/>
      <c r="C155" s="12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4"/>
      <c r="X155" s="10"/>
      <c r="Y155" s="10"/>
      <c r="Z155" s="10"/>
      <c r="AA155" s="10"/>
      <c r="AB155" s="10"/>
      <c r="AC155" s="10"/>
      <c r="AD155" s="15"/>
      <c r="AE155" s="8"/>
      <c r="AF155" s="10"/>
      <c r="AG155" s="10"/>
      <c r="AH155" s="9"/>
      <c r="AI155" s="9"/>
      <c r="AJ155" s="10"/>
      <c r="AK155" s="29"/>
      <c r="AL155" s="18"/>
      <c r="AM155" s="10"/>
      <c r="AN155" s="10"/>
      <c r="AO155" s="18"/>
      <c r="AP155" s="18"/>
      <c r="AQ155" s="23"/>
      <c r="AR155" s="18"/>
      <c r="AS155" s="10"/>
      <c r="AT155" s="19"/>
      <c r="AU155" s="18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</row>
    <row r="156" spans="1:84" x14ac:dyDescent="0.25">
      <c r="A156" s="10"/>
      <c r="B156" s="10"/>
      <c r="C156" s="12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4"/>
      <c r="X156" s="10"/>
      <c r="Y156" s="10"/>
      <c r="Z156" s="10"/>
      <c r="AA156" s="10"/>
      <c r="AB156" s="10"/>
      <c r="AC156" s="10"/>
      <c r="AD156" s="15"/>
      <c r="AE156" s="8"/>
      <c r="AF156" s="10"/>
      <c r="AG156" s="10"/>
      <c r="AH156" s="9"/>
      <c r="AI156" s="9"/>
      <c r="AJ156" s="10"/>
      <c r="AK156" s="29"/>
      <c r="AL156" s="18"/>
      <c r="AM156" s="10"/>
      <c r="AN156" s="10"/>
      <c r="AO156" s="18"/>
      <c r="AP156" s="18"/>
      <c r="AQ156" s="23"/>
      <c r="AR156" s="18"/>
      <c r="AS156" s="10"/>
      <c r="AT156" s="19"/>
      <c r="AU156" s="18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</row>
    <row r="157" spans="1:84" x14ac:dyDescent="0.25">
      <c r="A157" s="10"/>
      <c r="B157" s="10"/>
      <c r="C157" s="12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4"/>
      <c r="X157" s="10"/>
      <c r="Y157" s="10"/>
      <c r="Z157" s="10"/>
      <c r="AA157" s="10"/>
      <c r="AB157" s="10"/>
      <c r="AC157" s="10"/>
      <c r="AD157" s="15"/>
      <c r="AE157" s="8"/>
      <c r="AF157" s="10"/>
      <c r="AG157" s="10"/>
      <c r="AH157" s="9"/>
      <c r="AI157" s="9"/>
      <c r="AJ157" s="10"/>
      <c r="AK157" s="29"/>
      <c r="AL157" s="18"/>
      <c r="AM157" s="10"/>
      <c r="AN157" s="10"/>
      <c r="AO157" s="18"/>
      <c r="AP157" s="18"/>
      <c r="AQ157" s="23"/>
      <c r="AR157" s="18"/>
      <c r="AS157" s="10"/>
      <c r="AT157" s="19"/>
      <c r="AU157" s="18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</row>
    <row r="158" spans="1:84" x14ac:dyDescent="0.25">
      <c r="A158" s="10"/>
      <c r="B158" s="10"/>
      <c r="C158" s="12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4"/>
      <c r="X158" s="10"/>
      <c r="Y158" s="10"/>
      <c r="Z158" s="10"/>
      <c r="AA158" s="10"/>
      <c r="AB158" s="10"/>
      <c r="AC158" s="10"/>
      <c r="AD158" s="15"/>
      <c r="AE158" s="8"/>
      <c r="AF158" s="10"/>
      <c r="AG158" s="10"/>
      <c r="AH158" s="9"/>
      <c r="AI158" s="9"/>
      <c r="AJ158" s="10"/>
      <c r="AK158" s="29"/>
      <c r="AL158" s="18"/>
      <c r="AM158" s="10"/>
      <c r="AN158" s="10"/>
      <c r="AO158" s="18"/>
      <c r="AP158" s="18"/>
      <c r="AQ158" s="23"/>
      <c r="AR158" s="18"/>
      <c r="AS158" s="10"/>
      <c r="AT158" s="19"/>
      <c r="AU158" s="18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</row>
    <row r="159" spans="1:84" x14ac:dyDescent="0.25">
      <c r="A159" s="10"/>
      <c r="B159" s="10"/>
      <c r="C159" s="12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4"/>
      <c r="X159" s="10"/>
      <c r="Y159" s="10"/>
      <c r="Z159" s="10"/>
      <c r="AA159" s="10"/>
      <c r="AB159" s="10"/>
      <c r="AC159" s="10"/>
      <c r="AD159" s="15"/>
      <c r="AE159" s="8"/>
      <c r="AF159" s="10"/>
      <c r="AG159" s="10"/>
      <c r="AH159" s="9"/>
      <c r="AI159" s="9"/>
      <c r="AJ159" s="10"/>
      <c r="AK159" s="29"/>
      <c r="AL159" s="18"/>
      <c r="AM159" s="10"/>
      <c r="AN159" s="10"/>
      <c r="AO159" s="18"/>
      <c r="AP159" s="18"/>
      <c r="AQ159" s="23"/>
      <c r="AR159" s="18"/>
      <c r="AS159" s="10"/>
      <c r="AT159" s="19"/>
      <c r="AU159" s="18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</row>
    <row r="160" spans="1:84" x14ac:dyDescent="0.25">
      <c r="A160" s="10"/>
      <c r="B160" s="10"/>
      <c r="C160" s="12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4"/>
      <c r="X160" s="10"/>
      <c r="Y160" s="10"/>
      <c r="Z160" s="10"/>
      <c r="AA160" s="10"/>
      <c r="AB160" s="10"/>
      <c r="AC160" s="10"/>
      <c r="AD160" s="15"/>
      <c r="AE160" s="8"/>
      <c r="AF160" s="10"/>
      <c r="AG160" s="10"/>
      <c r="AH160" s="9"/>
      <c r="AI160" s="9"/>
      <c r="AJ160" s="10"/>
      <c r="AK160" s="29"/>
      <c r="AL160" s="18"/>
      <c r="AM160" s="10"/>
      <c r="AN160" s="10"/>
      <c r="AO160" s="18"/>
      <c r="AP160" s="18"/>
      <c r="AQ160" s="23"/>
      <c r="AR160" s="18"/>
      <c r="AS160" s="10"/>
      <c r="AT160" s="19"/>
      <c r="AU160" s="18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</row>
    <row r="161" spans="1:84" x14ac:dyDescent="0.25">
      <c r="A161" s="10"/>
      <c r="B161" s="10"/>
      <c r="C161" s="12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4"/>
      <c r="X161" s="10"/>
      <c r="Y161" s="10"/>
      <c r="Z161" s="10"/>
      <c r="AA161" s="10"/>
      <c r="AB161" s="10"/>
      <c r="AC161" s="10"/>
      <c r="AD161" s="15"/>
      <c r="AE161" s="8"/>
      <c r="AF161" s="10"/>
      <c r="AG161" s="10"/>
      <c r="AH161" s="9"/>
      <c r="AI161" s="9"/>
      <c r="AJ161" s="10"/>
      <c r="AK161" s="29"/>
      <c r="AL161" s="18"/>
      <c r="AM161" s="10"/>
      <c r="AN161" s="10"/>
      <c r="AO161" s="18"/>
      <c r="AP161" s="18"/>
      <c r="AQ161" s="23"/>
      <c r="AR161" s="18"/>
      <c r="AS161" s="10"/>
      <c r="AT161" s="19"/>
      <c r="AU161" s="18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</row>
    <row r="162" spans="1:84" x14ac:dyDescent="0.25">
      <c r="A162" s="10"/>
      <c r="B162" s="10"/>
      <c r="C162" s="12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4"/>
      <c r="X162" s="10"/>
      <c r="Y162" s="10"/>
      <c r="Z162" s="10"/>
      <c r="AA162" s="10"/>
      <c r="AB162" s="10"/>
      <c r="AC162" s="10"/>
      <c r="AD162" s="15"/>
      <c r="AE162" s="8"/>
      <c r="AF162" s="10"/>
      <c r="AG162" s="10"/>
      <c r="AH162" s="9"/>
      <c r="AI162" s="9"/>
      <c r="AJ162" s="10"/>
      <c r="AK162" s="29"/>
      <c r="AL162" s="18"/>
      <c r="AM162" s="10"/>
      <c r="AN162" s="10"/>
      <c r="AO162" s="18"/>
      <c r="AP162" s="18"/>
      <c r="AQ162" s="23"/>
      <c r="AR162" s="18"/>
      <c r="AS162" s="10"/>
      <c r="AT162" s="19"/>
      <c r="AU162" s="18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</row>
    <row r="163" spans="1:84" x14ac:dyDescent="0.25">
      <c r="A163" s="10"/>
      <c r="B163" s="10"/>
      <c r="C163" s="12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4"/>
      <c r="X163" s="10"/>
      <c r="Y163" s="10"/>
      <c r="Z163" s="10"/>
      <c r="AA163" s="10"/>
      <c r="AB163" s="10"/>
      <c r="AC163" s="10"/>
      <c r="AD163" s="15"/>
      <c r="AE163" s="8"/>
      <c r="AF163" s="10"/>
      <c r="AG163" s="10"/>
      <c r="AH163" s="9"/>
      <c r="AI163" s="9"/>
      <c r="AJ163" s="10"/>
      <c r="AK163" s="29"/>
      <c r="AL163" s="18"/>
      <c r="AM163" s="10"/>
      <c r="AN163" s="10"/>
      <c r="AO163" s="18"/>
      <c r="AP163" s="18"/>
      <c r="AQ163" s="23"/>
      <c r="AR163" s="18"/>
      <c r="AS163" s="10"/>
      <c r="AT163" s="19"/>
      <c r="AU163" s="18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</row>
    <row r="164" spans="1:84" x14ac:dyDescent="0.25">
      <c r="A164" s="10"/>
      <c r="B164" s="10"/>
      <c r="C164" s="12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4"/>
      <c r="X164" s="10"/>
      <c r="Y164" s="10"/>
      <c r="Z164" s="10"/>
      <c r="AA164" s="10"/>
      <c r="AB164" s="10"/>
      <c r="AC164" s="10"/>
      <c r="AD164" s="15"/>
      <c r="AE164" s="8"/>
      <c r="AF164" s="10"/>
      <c r="AG164" s="10"/>
      <c r="AH164" s="9"/>
      <c r="AI164" s="9"/>
      <c r="AJ164" s="10"/>
      <c r="AK164" s="29"/>
      <c r="AL164" s="18"/>
      <c r="AM164" s="10"/>
      <c r="AN164" s="10"/>
      <c r="AO164" s="18"/>
      <c r="AP164" s="18"/>
      <c r="AQ164" s="23"/>
      <c r="AR164" s="18"/>
      <c r="AS164" s="10"/>
      <c r="AT164" s="19"/>
      <c r="AU164" s="18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</row>
    <row r="165" spans="1:84" x14ac:dyDescent="0.25">
      <c r="A165" s="10"/>
      <c r="B165" s="10"/>
      <c r="C165" s="12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4"/>
      <c r="X165" s="10"/>
      <c r="Y165" s="10"/>
      <c r="Z165" s="10"/>
      <c r="AA165" s="10"/>
      <c r="AB165" s="10"/>
      <c r="AC165" s="10"/>
      <c r="AD165" s="15"/>
      <c r="AE165" s="8"/>
      <c r="AF165" s="10"/>
      <c r="AG165" s="10"/>
      <c r="AH165" s="9"/>
      <c r="AI165" s="9"/>
      <c r="AJ165" s="10"/>
      <c r="AK165" s="29"/>
      <c r="AL165" s="18"/>
      <c r="AM165" s="10"/>
      <c r="AN165" s="10"/>
      <c r="AO165" s="18"/>
      <c r="AP165" s="18"/>
      <c r="AQ165" s="23"/>
      <c r="AR165" s="18"/>
      <c r="AS165" s="10"/>
      <c r="AT165" s="19"/>
      <c r="AU165" s="18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</row>
    <row r="166" spans="1:84" x14ac:dyDescent="0.25">
      <c r="A166" s="10"/>
      <c r="B166" s="10"/>
      <c r="C166" s="12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4"/>
      <c r="X166" s="10"/>
      <c r="Y166" s="10"/>
      <c r="Z166" s="10"/>
      <c r="AA166" s="10"/>
      <c r="AB166" s="10"/>
      <c r="AC166" s="10"/>
      <c r="AD166" s="15"/>
      <c r="AE166" s="8"/>
      <c r="AF166" s="10"/>
      <c r="AG166" s="10"/>
      <c r="AH166" s="9"/>
      <c r="AI166" s="9"/>
      <c r="AJ166" s="10"/>
      <c r="AK166" s="29"/>
      <c r="AL166" s="18"/>
      <c r="AM166" s="10"/>
      <c r="AN166" s="10"/>
      <c r="AO166" s="18"/>
      <c r="AP166" s="18"/>
      <c r="AQ166" s="23"/>
      <c r="AR166" s="18"/>
      <c r="AS166" s="10"/>
      <c r="AT166" s="19"/>
      <c r="AU166" s="18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</row>
    <row r="167" spans="1:84" x14ac:dyDescent="0.25">
      <c r="A167" s="10"/>
      <c r="B167" s="10"/>
      <c r="C167" s="12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4"/>
      <c r="X167" s="10"/>
      <c r="Y167" s="10"/>
      <c r="Z167" s="10"/>
      <c r="AA167" s="10"/>
      <c r="AB167" s="10"/>
      <c r="AC167" s="10"/>
      <c r="AD167" s="15"/>
      <c r="AE167" s="8"/>
      <c r="AF167" s="10"/>
      <c r="AG167" s="10"/>
      <c r="AH167" s="9"/>
      <c r="AI167" s="9"/>
      <c r="AJ167" s="10"/>
      <c r="AK167" s="29"/>
      <c r="AL167" s="18"/>
      <c r="AM167" s="10"/>
      <c r="AN167" s="10"/>
      <c r="AO167" s="18"/>
      <c r="AP167" s="18"/>
      <c r="AQ167" s="23"/>
      <c r="AR167" s="18"/>
      <c r="AS167" s="10"/>
      <c r="AT167" s="19"/>
      <c r="AU167" s="18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</row>
    <row r="168" spans="1:84" x14ac:dyDescent="0.25">
      <c r="A168" s="10"/>
      <c r="B168" s="10"/>
      <c r="C168" s="12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4"/>
      <c r="X168" s="10"/>
      <c r="Y168" s="10"/>
      <c r="Z168" s="10"/>
      <c r="AA168" s="10"/>
      <c r="AB168" s="10"/>
      <c r="AC168" s="10"/>
      <c r="AD168" s="15"/>
      <c r="AE168" s="8"/>
      <c r="AF168" s="10"/>
      <c r="AG168" s="10"/>
      <c r="AH168" s="9"/>
      <c r="AI168" s="9"/>
      <c r="AJ168" s="10"/>
      <c r="AK168" s="29"/>
      <c r="AL168" s="18"/>
      <c r="AM168" s="10"/>
      <c r="AN168" s="10"/>
      <c r="AO168" s="18"/>
      <c r="AP168" s="18"/>
      <c r="AQ168" s="23"/>
      <c r="AR168" s="18"/>
      <c r="AS168" s="10"/>
      <c r="AT168" s="19"/>
      <c r="AU168" s="18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</row>
    <row r="169" spans="1:84" x14ac:dyDescent="0.25">
      <c r="A169" s="10"/>
      <c r="B169" s="10"/>
      <c r="C169" s="12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4"/>
      <c r="X169" s="10"/>
      <c r="Y169" s="10"/>
      <c r="Z169" s="10"/>
      <c r="AA169" s="10"/>
      <c r="AB169" s="10"/>
      <c r="AC169" s="10"/>
      <c r="AD169" s="15"/>
      <c r="AE169" s="8"/>
      <c r="AF169" s="10"/>
      <c r="AG169" s="10"/>
      <c r="AH169" s="9"/>
      <c r="AI169" s="9"/>
      <c r="AJ169" s="10"/>
      <c r="AK169" s="29"/>
      <c r="AL169" s="18"/>
      <c r="AM169" s="10"/>
      <c r="AN169" s="10"/>
      <c r="AO169" s="18"/>
      <c r="AP169" s="18"/>
      <c r="AQ169" s="23"/>
      <c r="AR169" s="18"/>
      <c r="AS169" s="10"/>
      <c r="AT169" s="19"/>
      <c r="AU169" s="18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</row>
    <row r="170" spans="1:84" x14ac:dyDescent="0.25">
      <c r="A170" s="10"/>
      <c r="B170" s="10"/>
      <c r="C170" s="12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4"/>
      <c r="X170" s="10"/>
      <c r="Y170" s="10"/>
      <c r="Z170" s="10"/>
      <c r="AA170" s="10"/>
      <c r="AB170" s="10"/>
      <c r="AC170" s="10"/>
      <c r="AD170" s="15"/>
      <c r="AE170" s="8"/>
      <c r="AF170" s="10"/>
      <c r="AG170" s="10"/>
      <c r="AH170" s="9"/>
      <c r="AI170" s="9"/>
      <c r="AJ170" s="10"/>
      <c r="AK170" s="29"/>
      <c r="AL170" s="18"/>
      <c r="AM170" s="10"/>
      <c r="AN170" s="10"/>
      <c r="AO170" s="18"/>
      <c r="AP170" s="18"/>
      <c r="AQ170" s="23"/>
      <c r="AR170" s="18"/>
      <c r="AS170" s="10"/>
      <c r="AT170" s="19"/>
      <c r="AU170" s="18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</row>
    <row r="171" spans="1:84" x14ac:dyDescent="0.25">
      <c r="A171" s="10"/>
      <c r="B171" s="10"/>
      <c r="C171" s="12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4"/>
      <c r="X171" s="10"/>
      <c r="Y171" s="10"/>
      <c r="Z171" s="10"/>
      <c r="AA171" s="10"/>
      <c r="AB171" s="10"/>
      <c r="AC171" s="10"/>
      <c r="AD171" s="15"/>
      <c r="AE171" s="8"/>
      <c r="AF171" s="10"/>
      <c r="AG171" s="10"/>
      <c r="AH171" s="9"/>
      <c r="AI171" s="9"/>
      <c r="AJ171" s="10"/>
      <c r="AK171" s="29"/>
      <c r="AL171" s="18"/>
      <c r="AM171" s="10"/>
      <c r="AN171" s="10"/>
      <c r="AO171" s="18"/>
      <c r="AP171" s="18"/>
      <c r="AQ171" s="23"/>
      <c r="AR171" s="18"/>
      <c r="AS171" s="10"/>
      <c r="AT171" s="19"/>
      <c r="AU171" s="18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</row>
    <row r="172" spans="1:84" x14ac:dyDescent="0.25">
      <c r="A172" s="10"/>
      <c r="B172" s="10"/>
      <c r="C172" s="12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4"/>
      <c r="X172" s="10"/>
      <c r="Y172" s="10"/>
      <c r="Z172" s="10"/>
      <c r="AA172" s="10"/>
      <c r="AB172" s="10"/>
      <c r="AC172" s="10"/>
      <c r="AD172" s="15"/>
      <c r="AE172" s="8"/>
      <c r="AF172" s="10"/>
      <c r="AG172" s="10"/>
      <c r="AH172" s="9"/>
      <c r="AI172" s="9"/>
      <c r="AJ172" s="10"/>
      <c r="AK172" s="29"/>
      <c r="AL172" s="18"/>
      <c r="AM172" s="10"/>
      <c r="AN172" s="10"/>
      <c r="AO172" s="18"/>
      <c r="AP172" s="18"/>
      <c r="AQ172" s="23"/>
      <c r="AR172" s="18"/>
      <c r="AS172" s="10"/>
      <c r="AT172" s="19"/>
      <c r="AU172" s="18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</row>
    <row r="173" spans="1:84" x14ac:dyDescent="0.25">
      <c r="A173" s="10"/>
      <c r="B173" s="10"/>
      <c r="C173" s="12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4"/>
      <c r="X173" s="10"/>
      <c r="Y173" s="10"/>
      <c r="Z173" s="10"/>
      <c r="AA173" s="10"/>
      <c r="AB173" s="10"/>
      <c r="AC173" s="10"/>
      <c r="AD173" s="15"/>
      <c r="AE173" s="8"/>
      <c r="AF173" s="10"/>
      <c r="AG173" s="10"/>
      <c r="AH173" s="9"/>
      <c r="AI173" s="9"/>
      <c r="AJ173" s="10"/>
      <c r="AK173" s="29"/>
      <c r="AL173" s="18"/>
      <c r="AM173" s="10"/>
      <c r="AN173" s="10"/>
      <c r="AO173" s="18"/>
      <c r="AP173" s="18"/>
      <c r="AQ173" s="23"/>
      <c r="AR173" s="18"/>
      <c r="AS173" s="10"/>
      <c r="AT173" s="19"/>
      <c r="AU173" s="18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</row>
    <row r="174" spans="1:84" x14ac:dyDescent="0.25">
      <c r="A174" s="10"/>
      <c r="B174" s="10"/>
      <c r="C174" s="12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4"/>
      <c r="X174" s="10"/>
      <c r="Y174" s="10"/>
      <c r="Z174" s="10"/>
      <c r="AA174" s="10"/>
      <c r="AB174" s="10"/>
      <c r="AC174" s="10"/>
      <c r="AD174" s="15"/>
      <c r="AE174" s="8"/>
      <c r="AF174" s="10"/>
      <c r="AG174" s="10"/>
      <c r="AH174" s="9"/>
      <c r="AI174" s="9"/>
      <c r="AJ174" s="10"/>
      <c r="AK174" s="29"/>
      <c r="AL174" s="18"/>
      <c r="AM174" s="10"/>
      <c r="AN174" s="10"/>
      <c r="AO174" s="18"/>
      <c r="AP174" s="18"/>
      <c r="AQ174" s="23"/>
      <c r="AR174" s="18"/>
      <c r="AS174" s="10"/>
      <c r="AT174" s="19"/>
      <c r="AU174" s="18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</row>
    <row r="175" spans="1:84" x14ac:dyDescent="0.25">
      <c r="A175" s="10"/>
      <c r="B175" s="10"/>
      <c r="C175" s="12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4"/>
      <c r="X175" s="10"/>
      <c r="Y175" s="10"/>
      <c r="Z175" s="10"/>
      <c r="AA175" s="10"/>
      <c r="AB175" s="10"/>
      <c r="AC175" s="10"/>
      <c r="AD175" s="15"/>
      <c r="AE175" s="8"/>
      <c r="AF175" s="10"/>
      <c r="AG175" s="10"/>
      <c r="AH175" s="9"/>
      <c r="AI175" s="9"/>
      <c r="AJ175" s="10"/>
      <c r="AK175" s="29"/>
      <c r="AL175" s="18"/>
      <c r="AM175" s="10"/>
      <c r="AN175" s="10"/>
      <c r="AO175" s="18"/>
      <c r="AP175" s="18"/>
      <c r="AQ175" s="23"/>
      <c r="AR175" s="18"/>
      <c r="AS175" s="10"/>
      <c r="AT175" s="19"/>
      <c r="AU175" s="18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</row>
    <row r="176" spans="1:84" x14ac:dyDescent="0.25">
      <c r="A176" s="10"/>
      <c r="B176" s="10"/>
      <c r="C176" s="12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4"/>
      <c r="X176" s="10"/>
      <c r="Y176" s="10"/>
      <c r="Z176" s="10"/>
      <c r="AA176" s="10"/>
      <c r="AB176" s="10"/>
      <c r="AC176" s="10"/>
      <c r="AD176" s="15"/>
      <c r="AE176" s="8"/>
      <c r="AF176" s="10"/>
      <c r="AG176" s="10"/>
      <c r="AH176" s="9"/>
      <c r="AI176" s="9"/>
      <c r="AJ176" s="10"/>
      <c r="AK176" s="29"/>
      <c r="AL176" s="18"/>
      <c r="AM176" s="10"/>
      <c r="AN176" s="10"/>
      <c r="AO176" s="18"/>
      <c r="AP176" s="18"/>
      <c r="AQ176" s="23"/>
      <c r="AR176" s="18"/>
      <c r="AS176" s="10"/>
      <c r="AT176" s="19"/>
      <c r="AU176" s="18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</row>
    <row r="177" spans="1:84" x14ac:dyDescent="0.25">
      <c r="A177" s="10"/>
      <c r="B177" s="10"/>
      <c r="C177" s="12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4"/>
      <c r="X177" s="10"/>
      <c r="Y177" s="10"/>
      <c r="Z177" s="10"/>
      <c r="AA177" s="10"/>
      <c r="AB177" s="10"/>
      <c r="AC177" s="10"/>
      <c r="AD177" s="15"/>
      <c r="AE177" s="8"/>
      <c r="AF177" s="10"/>
      <c r="AG177" s="10"/>
      <c r="AH177" s="9"/>
      <c r="AI177" s="9"/>
      <c r="AJ177" s="10"/>
      <c r="AK177" s="29"/>
      <c r="AL177" s="18"/>
      <c r="AM177" s="10"/>
      <c r="AN177" s="10"/>
      <c r="AO177" s="18"/>
      <c r="AP177" s="18"/>
      <c r="AQ177" s="23"/>
      <c r="AR177" s="18"/>
      <c r="AS177" s="10"/>
      <c r="AT177" s="19"/>
      <c r="AU177" s="18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</row>
    <row r="178" spans="1:84" x14ac:dyDescent="0.25">
      <c r="A178" s="10"/>
      <c r="B178" s="10"/>
      <c r="C178" s="12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4"/>
      <c r="X178" s="10"/>
      <c r="Y178" s="10"/>
      <c r="Z178" s="10"/>
      <c r="AA178" s="10"/>
      <c r="AB178" s="10"/>
      <c r="AC178" s="10"/>
      <c r="AD178" s="15"/>
      <c r="AE178" s="8"/>
      <c r="AF178" s="10"/>
      <c r="AG178" s="10"/>
      <c r="AH178" s="9"/>
      <c r="AI178" s="9"/>
      <c r="AJ178" s="10"/>
      <c r="AK178" s="29"/>
      <c r="AL178" s="18"/>
      <c r="AM178" s="10"/>
      <c r="AN178" s="10"/>
      <c r="AO178" s="18"/>
      <c r="AP178" s="18"/>
      <c r="AQ178" s="23"/>
      <c r="AR178" s="18"/>
      <c r="AS178" s="10"/>
      <c r="AT178" s="19"/>
      <c r="AU178" s="18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</row>
    <row r="179" spans="1:84" x14ac:dyDescent="0.25">
      <c r="A179" s="10"/>
      <c r="B179" s="10"/>
      <c r="C179" s="12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4"/>
      <c r="X179" s="10"/>
      <c r="Y179" s="10"/>
      <c r="Z179" s="10"/>
      <c r="AA179" s="10"/>
      <c r="AB179" s="10"/>
      <c r="AC179" s="10"/>
      <c r="AD179" s="15"/>
      <c r="AE179" s="8"/>
      <c r="AF179" s="10"/>
      <c r="AG179" s="10"/>
      <c r="AH179" s="9"/>
      <c r="AI179" s="9"/>
      <c r="AJ179" s="10"/>
      <c r="AK179" s="29"/>
      <c r="AL179" s="18"/>
      <c r="AM179" s="10"/>
      <c r="AN179" s="10"/>
      <c r="AO179" s="18"/>
      <c r="AP179" s="18"/>
      <c r="AQ179" s="23"/>
      <c r="AR179" s="18"/>
      <c r="AS179" s="10"/>
      <c r="AT179" s="19"/>
      <c r="AU179" s="18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</row>
    <row r="180" spans="1:84" x14ac:dyDescent="0.25">
      <c r="A180" s="10"/>
      <c r="B180" s="10"/>
      <c r="C180" s="12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4"/>
      <c r="X180" s="10"/>
      <c r="Y180" s="10"/>
      <c r="Z180" s="10"/>
      <c r="AA180" s="10"/>
      <c r="AB180" s="10"/>
      <c r="AC180" s="10"/>
      <c r="AD180" s="15"/>
      <c r="AE180" s="8"/>
      <c r="AF180" s="10"/>
      <c r="AG180" s="10"/>
      <c r="AH180" s="9"/>
      <c r="AI180" s="9"/>
      <c r="AJ180" s="10"/>
      <c r="AK180" s="29"/>
      <c r="AL180" s="18"/>
      <c r="AM180" s="10"/>
      <c r="AN180" s="10"/>
      <c r="AO180" s="18"/>
      <c r="AP180" s="18"/>
      <c r="AQ180" s="23"/>
      <c r="AR180" s="18"/>
      <c r="AS180" s="10"/>
      <c r="AT180" s="19"/>
      <c r="AU180" s="18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</row>
    <row r="181" spans="1:84" x14ac:dyDescent="0.25">
      <c r="A181" s="10"/>
      <c r="B181" s="10"/>
      <c r="C181" s="12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4"/>
      <c r="X181" s="10"/>
      <c r="Y181" s="10"/>
      <c r="Z181" s="10"/>
      <c r="AA181" s="10"/>
      <c r="AB181" s="10"/>
      <c r="AC181" s="10"/>
      <c r="AD181" s="15"/>
      <c r="AE181" s="8"/>
      <c r="AF181" s="10"/>
      <c r="AG181" s="10"/>
      <c r="AH181" s="9"/>
      <c r="AI181" s="9"/>
      <c r="AJ181" s="10"/>
      <c r="AK181" s="29"/>
      <c r="AL181" s="18"/>
      <c r="AM181" s="10"/>
      <c r="AN181" s="10"/>
      <c r="AO181" s="18"/>
      <c r="AP181" s="18"/>
      <c r="AQ181" s="23"/>
      <c r="AR181" s="18"/>
      <c r="AS181" s="10"/>
      <c r="AT181" s="19"/>
      <c r="AU181" s="18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</row>
    <row r="182" spans="1:84" x14ac:dyDescent="0.25">
      <c r="A182" s="10"/>
      <c r="B182" s="10"/>
      <c r="C182" s="12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4"/>
      <c r="X182" s="10"/>
      <c r="Y182" s="10"/>
      <c r="Z182" s="10"/>
      <c r="AA182" s="10"/>
      <c r="AB182" s="10"/>
      <c r="AC182" s="10"/>
      <c r="AD182" s="15"/>
      <c r="AE182" s="8"/>
      <c r="AF182" s="10"/>
      <c r="AG182" s="10"/>
      <c r="AH182" s="9"/>
      <c r="AI182" s="9"/>
      <c r="AJ182" s="10"/>
      <c r="AK182" s="29"/>
      <c r="AL182" s="18"/>
      <c r="AM182" s="10"/>
      <c r="AN182" s="10"/>
      <c r="AO182" s="18"/>
      <c r="AP182" s="18"/>
      <c r="AQ182" s="23"/>
      <c r="AR182" s="18"/>
      <c r="AS182" s="10"/>
      <c r="AT182" s="19"/>
      <c r="AU182" s="18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</row>
    <row r="183" spans="1:84" x14ac:dyDescent="0.25">
      <c r="A183" s="10"/>
      <c r="B183" s="10"/>
      <c r="C183" s="12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4"/>
      <c r="X183" s="10"/>
      <c r="Y183" s="10"/>
      <c r="Z183" s="10"/>
      <c r="AA183" s="10"/>
      <c r="AB183" s="10"/>
      <c r="AC183" s="10"/>
      <c r="AD183" s="15"/>
      <c r="AE183" s="8"/>
      <c r="AF183" s="10"/>
      <c r="AG183" s="10"/>
      <c r="AH183" s="9"/>
      <c r="AI183" s="9"/>
      <c r="AJ183" s="10"/>
      <c r="AK183" s="29"/>
      <c r="AL183" s="18"/>
      <c r="AM183" s="10"/>
      <c r="AN183" s="10"/>
      <c r="AO183" s="18"/>
      <c r="AP183" s="18"/>
      <c r="AQ183" s="23"/>
      <c r="AR183" s="18"/>
      <c r="AS183" s="10"/>
      <c r="AT183" s="19"/>
      <c r="AU183" s="18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</row>
    <row r="184" spans="1:84" x14ac:dyDescent="0.25">
      <c r="A184" s="10"/>
      <c r="B184" s="10"/>
      <c r="C184" s="12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4"/>
      <c r="X184" s="10"/>
      <c r="Y184" s="10"/>
      <c r="Z184" s="10"/>
      <c r="AA184" s="10"/>
      <c r="AB184" s="10"/>
      <c r="AC184" s="10"/>
      <c r="AD184" s="15"/>
      <c r="AE184" s="8"/>
      <c r="AF184" s="10"/>
      <c r="AG184" s="10"/>
      <c r="AH184" s="9"/>
      <c r="AI184" s="9"/>
      <c r="AJ184" s="10"/>
      <c r="AK184" s="29"/>
      <c r="AL184" s="18"/>
      <c r="AM184" s="10"/>
      <c r="AN184" s="10"/>
      <c r="AO184" s="18"/>
      <c r="AP184" s="18"/>
      <c r="AQ184" s="23"/>
      <c r="AR184" s="18"/>
      <c r="AS184" s="10"/>
      <c r="AT184" s="19"/>
      <c r="AU184" s="18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</row>
    <row r="185" spans="1:84" x14ac:dyDescent="0.25">
      <c r="A185" s="10"/>
      <c r="B185" s="10"/>
      <c r="C185" s="12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4"/>
      <c r="X185" s="10"/>
      <c r="Y185" s="10"/>
      <c r="Z185" s="10"/>
      <c r="AA185" s="10"/>
      <c r="AB185" s="10"/>
      <c r="AC185" s="10"/>
      <c r="AD185" s="15"/>
      <c r="AE185" s="8"/>
      <c r="AF185" s="10"/>
      <c r="AG185" s="10"/>
      <c r="AH185" s="9"/>
      <c r="AI185" s="9"/>
      <c r="AJ185" s="10"/>
      <c r="AK185" s="29"/>
      <c r="AL185" s="18"/>
      <c r="AM185" s="10"/>
      <c r="AN185" s="10"/>
      <c r="AO185" s="18"/>
      <c r="AP185" s="18"/>
      <c r="AQ185" s="23"/>
      <c r="AR185" s="18"/>
      <c r="AS185" s="10"/>
      <c r="AT185" s="19"/>
      <c r="AU185" s="18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</row>
    <row r="186" spans="1:84" x14ac:dyDescent="0.25">
      <c r="A186" s="10"/>
      <c r="B186" s="10"/>
      <c r="C186" s="12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4"/>
      <c r="X186" s="10"/>
      <c r="Y186" s="10"/>
      <c r="Z186" s="10"/>
      <c r="AA186" s="10"/>
      <c r="AB186" s="10"/>
      <c r="AC186" s="10"/>
      <c r="AD186" s="15"/>
      <c r="AE186" s="8"/>
      <c r="AF186" s="10"/>
      <c r="AG186" s="10"/>
      <c r="AH186" s="9"/>
      <c r="AI186" s="9"/>
      <c r="AJ186" s="10"/>
      <c r="AK186" s="29"/>
      <c r="AL186" s="18"/>
      <c r="AM186" s="10"/>
      <c r="AN186" s="10"/>
      <c r="AO186" s="18"/>
      <c r="AP186" s="18"/>
      <c r="AQ186" s="23"/>
      <c r="AR186" s="18"/>
      <c r="AS186" s="10"/>
      <c r="AT186" s="19"/>
      <c r="AU186" s="18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</row>
    <row r="187" spans="1:84" x14ac:dyDescent="0.25">
      <c r="A187" s="10"/>
      <c r="B187" s="10"/>
      <c r="C187" s="12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4"/>
      <c r="X187" s="10"/>
      <c r="Y187" s="10"/>
      <c r="Z187" s="10"/>
      <c r="AA187" s="10"/>
      <c r="AB187" s="10"/>
      <c r="AC187" s="10"/>
      <c r="AD187" s="15"/>
      <c r="AE187" s="8"/>
      <c r="AF187" s="10"/>
      <c r="AG187" s="10"/>
      <c r="AH187" s="9"/>
      <c r="AI187" s="9"/>
      <c r="AJ187" s="10"/>
      <c r="AK187" s="29"/>
      <c r="AL187" s="18"/>
      <c r="AM187" s="10"/>
      <c r="AN187" s="10"/>
      <c r="AO187" s="18"/>
      <c r="AP187" s="18"/>
      <c r="AQ187" s="23"/>
      <c r="AR187" s="18"/>
      <c r="AS187" s="10"/>
      <c r="AT187" s="19"/>
      <c r="AU187" s="18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</row>
    <row r="188" spans="1:84" x14ac:dyDescent="0.25">
      <c r="A188" s="10"/>
      <c r="B188" s="10"/>
      <c r="C188" s="12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4"/>
      <c r="X188" s="10"/>
      <c r="Y188" s="10"/>
      <c r="Z188" s="10"/>
      <c r="AA188" s="10"/>
      <c r="AB188" s="10"/>
      <c r="AC188" s="10"/>
      <c r="AD188" s="15"/>
      <c r="AE188" s="8"/>
      <c r="AF188" s="10"/>
      <c r="AG188" s="10"/>
      <c r="AH188" s="9"/>
      <c r="AI188" s="9"/>
      <c r="AJ188" s="10"/>
      <c r="AK188" s="29"/>
      <c r="AL188" s="18"/>
      <c r="AM188" s="10"/>
      <c r="AN188" s="10"/>
      <c r="AO188" s="18"/>
      <c r="AP188" s="18"/>
      <c r="AQ188" s="23"/>
      <c r="AR188" s="18"/>
      <c r="AS188" s="10"/>
      <c r="AT188" s="19"/>
      <c r="AU188" s="18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</row>
    <row r="189" spans="1:84" x14ac:dyDescent="0.25">
      <c r="A189" s="10"/>
      <c r="B189" s="10"/>
      <c r="C189" s="12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4"/>
      <c r="X189" s="10"/>
      <c r="Y189" s="10"/>
      <c r="Z189" s="10"/>
      <c r="AA189" s="10"/>
      <c r="AB189" s="10"/>
      <c r="AC189" s="10"/>
      <c r="AD189" s="15"/>
      <c r="AE189" s="8"/>
      <c r="AF189" s="10"/>
      <c r="AG189" s="10"/>
      <c r="AH189" s="9"/>
      <c r="AI189" s="9"/>
      <c r="AJ189" s="10"/>
      <c r="AK189" s="29"/>
      <c r="AL189" s="18"/>
      <c r="AM189" s="10"/>
      <c r="AN189" s="10"/>
      <c r="AO189" s="18"/>
      <c r="AP189" s="18"/>
      <c r="AQ189" s="23"/>
      <c r="AR189" s="18"/>
      <c r="AS189" s="10"/>
      <c r="AT189" s="19"/>
      <c r="AU189" s="18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</row>
    <row r="190" spans="1:84" x14ac:dyDescent="0.25">
      <c r="A190" s="10"/>
      <c r="B190" s="10"/>
      <c r="C190" s="12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4"/>
      <c r="X190" s="10"/>
      <c r="Y190" s="10"/>
      <c r="Z190" s="10"/>
      <c r="AA190" s="10"/>
      <c r="AB190" s="10"/>
      <c r="AC190" s="10"/>
      <c r="AD190" s="15"/>
      <c r="AE190" s="8"/>
      <c r="AF190" s="10"/>
      <c r="AG190" s="10"/>
      <c r="AH190" s="9"/>
      <c r="AI190" s="9"/>
      <c r="AJ190" s="10"/>
      <c r="AK190" s="29"/>
      <c r="AL190" s="18"/>
      <c r="AM190" s="10"/>
      <c r="AN190" s="10"/>
      <c r="AO190" s="18"/>
      <c r="AP190" s="18"/>
      <c r="AQ190" s="23"/>
      <c r="AR190" s="18"/>
      <c r="AS190" s="10"/>
      <c r="AT190" s="19"/>
      <c r="AU190" s="18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</row>
    <row r="191" spans="1:84" x14ac:dyDescent="0.25">
      <c r="A191" s="10"/>
      <c r="B191" s="10"/>
      <c r="C191" s="12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4"/>
      <c r="X191" s="10"/>
      <c r="Y191" s="10"/>
      <c r="Z191" s="10"/>
      <c r="AA191" s="10"/>
      <c r="AB191" s="10"/>
      <c r="AC191" s="10"/>
      <c r="AD191" s="15"/>
      <c r="AE191" s="8"/>
      <c r="AF191" s="10"/>
      <c r="AG191" s="10"/>
      <c r="AH191" s="9"/>
      <c r="AI191" s="9"/>
      <c r="AJ191" s="10"/>
      <c r="AK191" s="29"/>
      <c r="AL191" s="18"/>
      <c r="AM191" s="10"/>
      <c r="AN191" s="10"/>
      <c r="AO191" s="18"/>
      <c r="AP191" s="18"/>
      <c r="AQ191" s="23"/>
      <c r="AR191" s="18"/>
      <c r="AS191" s="10"/>
      <c r="AT191" s="19"/>
      <c r="AU191" s="18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</row>
    <row r="192" spans="1:84" x14ac:dyDescent="0.25">
      <c r="A192" s="10"/>
      <c r="B192" s="10"/>
      <c r="C192" s="12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4"/>
      <c r="X192" s="10"/>
      <c r="Y192" s="10"/>
      <c r="Z192" s="10"/>
      <c r="AA192" s="10"/>
      <c r="AB192" s="10"/>
      <c r="AC192" s="10"/>
      <c r="AD192" s="15"/>
      <c r="AE192" s="8"/>
      <c r="AF192" s="10"/>
      <c r="AG192" s="10"/>
      <c r="AH192" s="9"/>
      <c r="AI192" s="9"/>
      <c r="AJ192" s="10"/>
      <c r="AK192" s="29"/>
      <c r="AL192" s="18"/>
      <c r="AM192" s="10"/>
      <c r="AN192" s="10"/>
      <c r="AO192" s="18"/>
      <c r="AP192" s="18"/>
      <c r="AQ192" s="23"/>
      <c r="AR192" s="18"/>
      <c r="AS192" s="10"/>
      <c r="AT192" s="19"/>
      <c r="AU192" s="18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</row>
    <row r="193" spans="1:84" x14ac:dyDescent="0.25">
      <c r="A193" s="10"/>
      <c r="B193" s="10"/>
      <c r="C193" s="12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4"/>
      <c r="X193" s="10"/>
      <c r="Y193" s="10"/>
      <c r="Z193" s="10"/>
      <c r="AA193" s="10"/>
      <c r="AB193" s="10"/>
      <c r="AC193" s="10"/>
      <c r="AD193" s="15"/>
      <c r="AE193" s="8"/>
      <c r="AF193" s="10"/>
      <c r="AG193" s="10"/>
      <c r="AH193" s="9"/>
      <c r="AI193" s="9"/>
      <c r="AJ193" s="10"/>
      <c r="AK193" s="29"/>
      <c r="AL193" s="18"/>
      <c r="AM193" s="10"/>
      <c r="AN193" s="10"/>
      <c r="AO193" s="18"/>
      <c r="AP193" s="18"/>
      <c r="AQ193" s="23"/>
      <c r="AR193" s="18"/>
      <c r="AS193" s="10"/>
      <c r="AT193" s="19"/>
      <c r="AU193" s="18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</row>
    <row r="194" spans="1:84" x14ac:dyDescent="0.25">
      <c r="A194" s="10"/>
      <c r="B194" s="10"/>
      <c r="C194" s="12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4"/>
      <c r="X194" s="10"/>
      <c r="Y194" s="10"/>
      <c r="Z194" s="10"/>
      <c r="AA194" s="10"/>
      <c r="AB194" s="10"/>
      <c r="AC194" s="10"/>
      <c r="AD194" s="15"/>
      <c r="AE194" s="8"/>
      <c r="AF194" s="10"/>
      <c r="AG194" s="10"/>
      <c r="AH194" s="9"/>
      <c r="AI194" s="9"/>
      <c r="AJ194" s="10"/>
      <c r="AK194" s="29"/>
      <c r="AL194" s="18"/>
      <c r="AM194" s="10"/>
      <c r="AN194" s="10"/>
      <c r="AO194" s="18"/>
      <c r="AP194" s="18"/>
      <c r="AQ194" s="23"/>
      <c r="AR194" s="18"/>
      <c r="AS194" s="10"/>
      <c r="AT194" s="19"/>
      <c r="AU194" s="18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</row>
    <row r="195" spans="1:84" x14ac:dyDescent="0.25">
      <c r="A195" s="10"/>
      <c r="B195" s="10"/>
      <c r="C195" s="12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4"/>
      <c r="X195" s="10"/>
      <c r="Y195" s="10"/>
      <c r="Z195" s="10"/>
      <c r="AA195" s="10"/>
      <c r="AB195" s="10"/>
      <c r="AC195" s="10"/>
      <c r="AD195" s="15"/>
      <c r="AE195" s="8"/>
      <c r="AF195" s="10"/>
      <c r="AG195" s="10"/>
      <c r="AH195" s="9"/>
      <c r="AI195" s="9"/>
      <c r="AJ195" s="10"/>
      <c r="AK195" s="29"/>
      <c r="AL195" s="18"/>
      <c r="AM195" s="10"/>
      <c r="AN195" s="10"/>
      <c r="AO195" s="18"/>
      <c r="AP195" s="18"/>
      <c r="AQ195" s="23"/>
      <c r="AR195" s="18"/>
      <c r="AS195" s="10"/>
      <c r="AT195" s="19"/>
      <c r="AU195" s="18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</row>
    <row r="196" spans="1:84" x14ac:dyDescent="0.25">
      <c r="A196" s="10"/>
      <c r="B196" s="10"/>
      <c r="C196" s="12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4"/>
      <c r="X196" s="10"/>
      <c r="Y196" s="10"/>
      <c r="Z196" s="10"/>
      <c r="AA196" s="10"/>
      <c r="AB196" s="10"/>
      <c r="AC196" s="10"/>
      <c r="AD196" s="15"/>
      <c r="AE196" s="8"/>
      <c r="AF196" s="10"/>
      <c r="AG196" s="10"/>
      <c r="AH196" s="9"/>
      <c r="AI196" s="9"/>
      <c r="AJ196" s="10"/>
      <c r="AK196" s="29"/>
      <c r="AL196" s="18"/>
      <c r="AM196" s="10"/>
      <c r="AN196" s="10"/>
      <c r="AO196" s="18"/>
      <c r="AP196" s="18"/>
      <c r="AQ196" s="23"/>
      <c r="AR196" s="18"/>
      <c r="AS196" s="10"/>
      <c r="AT196" s="19"/>
      <c r="AU196" s="18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</row>
    <row r="197" spans="1:84" x14ac:dyDescent="0.25">
      <c r="A197" s="10"/>
      <c r="B197" s="10"/>
      <c r="C197" s="12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4"/>
      <c r="X197" s="10"/>
      <c r="Y197" s="10"/>
      <c r="Z197" s="10"/>
      <c r="AA197" s="10"/>
      <c r="AB197" s="10"/>
      <c r="AC197" s="10"/>
      <c r="AD197" s="15"/>
      <c r="AE197" s="8"/>
      <c r="AF197" s="10"/>
      <c r="AG197" s="10"/>
      <c r="AH197" s="9"/>
      <c r="AI197" s="9"/>
      <c r="AJ197" s="10"/>
      <c r="AK197" s="29"/>
      <c r="AL197" s="18"/>
      <c r="AM197" s="10"/>
      <c r="AN197" s="10"/>
      <c r="AO197" s="18"/>
      <c r="AP197" s="18"/>
      <c r="AQ197" s="23"/>
      <c r="AR197" s="18"/>
      <c r="AS197" s="10"/>
      <c r="AT197" s="19"/>
      <c r="AU197" s="18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</row>
    <row r="198" spans="1:84" x14ac:dyDescent="0.25">
      <c r="A198" s="10"/>
      <c r="B198" s="10"/>
      <c r="C198" s="12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4"/>
      <c r="X198" s="10"/>
      <c r="Y198" s="10"/>
      <c r="Z198" s="10"/>
      <c r="AA198" s="10"/>
      <c r="AB198" s="10"/>
      <c r="AC198" s="10"/>
      <c r="AD198" s="15"/>
      <c r="AE198" s="8"/>
      <c r="AF198" s="10"/>
      <c r="AG198" s="10"/>
      <c r="AH198" s="9"/>
      <c r="AI198" s="9"/>
      <c r="AJ198" s="10"/>
      <c r="AK198" s="29"/>
      <c r="AL198" s="18"/>
      <c r="AM198" s="10"/>
      <c r="AN198" s="10"/>
      <c r="AO198" s="18"/>
      <c r="AP198" s="18"/>
      <c r="AQ198" s="23"/>
      <c r="AR198" s="18"/>
      <c r="AS198" s="10"/>
      <c r="AT198" s="19"/>
      <c r="AU198" s="18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</row>
    <row r="199" spans="1:84" x14ac:dyDescent="0.25">
      <c r="A199" s="10"/>
      <c r="B199" s="10"/>
      <c r="C199" s="12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4"/>
      <c r="X199" s="10"/>
      <c r="Y199" s="10"/>
      <c r="Z199" s="10"/>
      <c r="AA199" s="10"/>
      <c r="AB199" s="10"/>
      <c r="AC199" s="10"/>
      <c r="AD199" s="15"/>
      <c r="AE199" s="8"/>
      <c r="AF199" s="10"/>
      <c r="AG199" s="10"/>
      <c r="AH199" s="9"/>
      <c r="AI199" s="9"/>
      <c r="AJ199" s="10"/>
      <c r="AK199" s="29"/>
      <c r="AL199" s="18"/>
      <c r="AM199" s="10"/>
      <c r="AN199" s="10"/>
      <c r="AO199" s="18"/>
      <c r="AP199" s="18"/>
      <c r="AQ199" s="23"/>
      <c r="AR199" s="18"/>
      <c r="AS199" s="10"/>
      <c r="AT199" s="19"/>
      <c r="AU199" s="18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</row>
    <row r="200" spans="1:84" x14ac:dyDescent="0.25">
      <c r="A200" s="10"/>
      <c r="B200" s="10"/>
      <c r="C200" s="12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4"/>
      <c r="X200" s="10"/>
      <c r="Y200" s="10"/>
      <c r="Z200" s="10"/>
      <c r="AA200" s="10"/>
      <c r="AB200" s="10"/>
      <c r="AC200" s="10"/>
      <c r="AD200" s="15"/>
      <c r="AE200" s="8"/>
      <c r="AF200" s="10"/>
      <c r="AG200" s="10"/>
      <c r="AH200" s="9"/>
      <c r="AI200" s="9"/>
      <c r="AJ200" s="10"/>
      <c r="AK200" s="29"/>
      <c r="AL200" s="18"/>
      <c r="AM200" s="10"/>
      <c r="AN200" s="10"/>
      <c r="AO200" s="18"/>
      <c r="AP200" s="18"/>
      <c r="AQ200" s="23"/>
      <c r="AR200" s="18"/>
      <c r="AS200" s="10"/>
      <c r="AT200" s="19"/>
      <c r="AU200" s="18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</row>
    <row r="201" spans="1:84" x14ac:dyDescent="0.25">
      <c r="A201" s="10"/>
      <c r="B201" s="10"/>
      <c r="C201" s="12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4"/>
      <c r="X201" s="10"/>
      <c r="Y201" s="10"/>
      <c r="Z201" s="10"/>
      <c r="AA201" s="10"/>
      <c r="AB201" s="10"/>
      <c r="AC201" s="10"/>
      <c r="AD201" s="15"/>
      <c r="AE201" s="8"/>
      <c r="AF201" s="10"/>
      <c r="AG201" s="10"/>
      <c r="AH201" s="9"/>
      <c r="AI201" s="9"/>
      <c r="AJ201" s="10"/>
      <c r="AK201" s="29"/>
      <c r="AL201" s="18"/>
      <c r="AM201" s="10"/>
      <c r="AN201" s="10"/>
      <c r="AO201" s="18"/>
      <c r="AP201" s="18"/>
      <c r="AQ201" s="23"/>
      <c r="AR201" s="18"/>
      <c r="AS201" s="10"/>
      <c r="AT201" s="19"/>
      <c r="AU201" s="18"/>
      <c r="AV201" s="10"/>
      <c r="AW201" s="10"/>
      <c r="AX201" s="10"/>
      <c r="AY201" s="10"/>
      <c r="AZ201" s="10"/>
      <c r="BA201" s="10"/>
      <c r="BB201" s="10"/>
      <c r="BC201" s="10"/>
      <c r="BD201" s="10"/>
      <c r="BE201" s="10"/>
      <c r="BF201" s="10"/>
      <c r="BG201" s="10"/>
      <c r="BH201" s="10"/>
      <c r="BI201" s="10"/>
      <c r="BJ201" s="10"/>
      <c r="BK201" s="10"/>
      <c r="BL201" s="10"/>
      <c r="BM201" s="10"/>
      <c r="BN201" s="10"/>
      <c r="BO201" s="10"/>
      <c r="BP201" s="10"/>
      <c r="BQ201" s="10"/>
      <c r="BR201" s="10"/>
      <c r="BS201" s="10"/>
      <c r="BT201" s="10"/>
      <c r="BU201" s="10"/>
      <c r="BV201" s="10"/>
      <c r="BW201" s="10"/>
      <c r="BX201" s="10"/>
      <c r="BY201" s="10"/>
      <c r="BZ201" s="10"/>
      <c r="CA201" s="10"/>
      <c r="CB201" s="10"/>
      <c r="CC201" s="10"/>
      <c r="CD201" s="10"/>
      <c r="CE201" s="10"/>
      <c r="CF201" s="10"/>
    </row>
    <row r="202" spans="1:84" x14ac:dyDescent="0.25">
      <c r="A202" s="10"/>
      <c r="B202" s="10"/>
      <c r="C202" s="12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4"/>
      <c r="X202" s="10"/>
      <c r="Y202" s="10"/>
      <c r="Z202" s="10"/>
      <c r="AA202" s="10"/>
      <c r="AB202" s="10"/>
      <c r="AC202" s="10"/>
      <c r="AD202" s="15"/>
      <c r="AE202" s="8"/>
      <c r="AF202" s="10"/>
      <c r="AG202" s="10"/>
      <c r="AH202" s="9"/>
      <c r="AI202" s="9"/>
      <c r="AJ202" s="10"/>
      <c r="AK202" s="29"/>
      <c r="AL202" s="18"/>
      <c r="AM202" s="10"/>
      <c r="AN202" s="10"/>
      <c r="AO202" s="18"/>
      <c r="AP202" s="18"/>
      <c r="AQ202" s="23"/>
      <c r="AR202" s="18"/>
      <c r="AS202" s="10"/>
      <c r="AT202" s="19"/>
      <c r="AU202" s="18"/>
      <c r="AV202" s="10"/>
      <c r="AW202" s="10"/>
      <c r="AX202" s="10"/>
      <c r="AY202" s="10"/>
      <c r="AZ202" s="10"/>
      <c r="BA202" s="10"/>
      <c r="BB202" s="10"/>
      <c r="BC202" s="10"/>
      <c r="BD202" s="10"/>
      <c r="BE202" s="10"/>
      <c r="BF202" s="10"/>
      <c r="BG202" s="10"/>
      <c r="BH202" s="10"/>
      <c r="BI202" s="10"/>
      <c r="BJ202" s="10"/>
      <c r="BK202" s="10"/>
      <c r="BL202" s="10"/>
      <c r="BM202" s="10"/>
      <c r="BN202" s="10"/>
      <c r="BO202" s="10"/>
      <c r="BP202" s="10"/>
      <c r="BQ202" s="10"/>
      <c r="BR202" s="10"/>
      <c r="BS202" s="10"/>
      <c r="BT202" s="10"/>
      <c r="BU202" s="10"/>
      <c r="BV202" s="10"/>
      <c r="BW202" s="10"/>
      <c r="BX202" s="10"/>
      <c r="BY202" s="10"/>
      <c r="BZ202" s="10"/>
      <c r="CA202" s="10"/>
      <c r="CB202" s="10"/>
      <c r="CC202" s="10"/>
      <c r="CD202" s="10"/>
      <c r="CE202" s="10"/>
      <c r="CF202" s="10"/>
    </row>
    <row r="203" spans="1:84" x14ac:dyDescent="0.25">
      <c r="A203" s="10"/>
      <c r="B203" s="10"/>
      <c r="C203" s="12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4"/>
      <c r="X203" s="10"/>
      <c r="Y203" s="10"/>
      <c r="Z203" s="10"/>
      <c r="AA203" s="10"/>
      <c r="AB203" s="10"/>
      <c r="AC203" s="10"/>
      <c r="AD203" s="15"/>
      <c r="AE203" s="8"/>
      <c r="AF203" s="10"/>
      <c r="AG203" s="10"/>
      <c r="AH203" s="9"/>
      <c r="AI203" s="9"/>
      <c r="AJ203" s="10"/>
      <c r="AK203" s="29"/>
      <c r="AL203" s="18"/>
      <c r="AM203" s="10"/>
      <c r="AN203" s="10"/>
      <c r="AO203" s="18"/>
      <c r="AP203" s="18"/>
      <c r="AQ203" s="23"/>
      <c r="AR203" s="18"/>
      <c r="AS203" s="10"/>
      <c r="AT203" s="19"/>
      <c r="AU203" s="18"/>
      <c r="AV203" s="10"/>
      <c r="AW203" s="10"/>
      <c r="AX203" s="10"/>
      <c r="AY203" s="10"/>
      <c r="AZ203" s="10"/>
      <c r="BA203" s="10"/>
      <c r="BB203" s="10"/>
      <c r="BC203" s="10"/>
      <c r="BD203" s="10"/>
      <c r="BE203" s="10"/>
      <c r="BF203" s="10"/>
      <c r="BG203" s="10"/>
      <c r="BH203" s="10"/>
      <c r="BI203" s="10"/>
      <c r="BJ203" s="10"/>
      <c r="BK203" s="10"/>
      <c r="BL203" s="10"/>
      <c r="BM203" s="10"/>
      <c r="BN203" s="10"/>
      <c r="BO203" s="10"/>
      <c r="BP203" s="10"/>
      <c r="BQ203" s="10"/>
      <c r="BR203" s="10"/>
      <c r="BS203" s="10"/>
      <c r="BT203" s="10"/>
      <c r="BU203" s="10"/>
      <c r="BV203" s="10"/>
      <c r="BW203" s="10"/>
      <c r="BX203" s="10"/>
      <c r="BY203" s="10"/>
      <c r="BZ203" s="10"/>
      <c r="CA203" s="10"/>
      <c r="CB203" s="10"/>
      <c r="CC203" s="10"/>
      <c r="CD203" s="10"/>
      <c r="CE203" s="10"/>
      <c r="CF203" s="10"/>
    </row>
    <row r="204" spans="1:84" x14ac:dyDescent="0.25">
      <c r="A204" s="10"/>
      <c r="B204" s="10"/>
      <c r="C204" s="12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4"/>
      <c r="X204" s="10"/>
      <c r="Y204" s="10"/>
      <c r="Z204" s="10"/>
      <c r="AA204" s="10"/>
      <c r="AB204" s="10"/>
      <c r="AC204" s="10"/>
      <c r="AD204" s="15"/>
      <c r="AE204" s="8"/>
      <c r="AF204" s="10"/>
      <c r="AG204" s="10"/>
      <c r="AH204" s="9"/>
      <c r="AI204" s="9"/>
      <c r="AJ204" s="10"/>
      <c r="AK204" s="29"/>
      <c r="AL204" s="18"/>
      <c r="AM204" s="10"/>
      <c r="AN204" s="10"/>
      <c r="AO204" s="18"/>
      <c r="AP204" s="18"/>
      <c r="AQ204" s="23"/>
      <c r="AR204" s="18"/>
      <c r="AS204" s="10"/>
      <c r="AT204" s="19"/>
      <c r="AU204" s="18"/>
      <c r="AV204" s="10"/>
      <c r="AW204" s="10"/>
      <c r="AX204" s="10"/>
      <c r="AY204" s="10"/>
      <c r="AZ204" s="10"/>
      <c r="BA204" s="10"/>
      <c r="BB204" s="10"/>
      <c r="BC204" s="10"/>
      <c r="BD204" s="10"/>
      <c r="BE204" s="10"/>
      <c r="BF204" s="10"/>
      <c r="BG204" s="10"/>
      <c r="BH204" s="10"/>
      <c r="BI204" s="10"/>
      <c r="BJ204" s="10"/>
      <c r="BK204" s="10"/>
      <c r="BL204" s="10"/>
      <c r="BM204" s="10"/>
      <c r="BN204" s="10"/>
      <c r="BO204" s="10"/>
      <c r="BP204" s="10"/>
      <c r="BQ204" s="10"/>
      <c r="BR204" s="10"/>
      <c r="BS204" s="10"/>
      <c r="BT204" s="10"/>
      <c r="BU204" s="10"/>
      <c r="BV204" s="10"/>
      <c r="BW204" s="10"/>
      <c r="BX204" s="10"/>
      <c r="BY204" s="10"/>
      <c r="BZ204" s="10"/>
      <c r="CA204" s="10"/>
      <c r="CB204" s="10"/>
      <c r="CC204" s="10"/>
      <c r="CD204" s="10"/>
      <c r="CE204" s="10"/>
      <c r="CF204" s="10"/>
    </row>
    <row r="205" spans="1:84" x14ac:dyDescent="0.25">
      <c r="A205" s="10"/>
      <c r="B205" s="10"/>
      <c r="C205" s="12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4"/>
      <c r="X205" s="10"/>
      <c r="Y205" s="10"/>
      <c r="Z205" s="10"/>
      <c r="AA205" s="10"/>
      <c r="AB205" s="10"/>
      <c r="AC205" s="10"/>
      <c r="AD205" s="15"/>
      <c r="AE205" s="8"/>
      <c r="AF205" s="10"/>
      <c r="AG205" s="10"/>
      <c r="AH205" s="9"/>
      <c r="AI205" s="9"/>
      <c r="AJ205" s="10"/>
      <c r="AK205" s="29"/>
      <c r="AL205" s="18"/>
      <c r="AM205" s="10"/>
      <c r="AN205" s="10"/>
      <c r="AO205" s="18"/>
      <c r="AP205" s="18"/>
      <c r="AQ205" s="23"/>
      <c r="AR205" s="18"/>
      <c r="AS205" s="10"/>
      <c r="AT205" s="19"/>
      <c r="AU205" s="18"/>
      <c r="AV205" s="10"/>
      <c r="AW205" s="10"/>
      <c r="AX205" s="10"/>
      <c r="AY205" s="10"/>
      <c r="AZ205" s="10"/>
      <c r="BA205" s="10"/>
      <c r="BB205" s="10"/>
      <c r="BC205" s="10"/>
      <c r="BD205" s="10"/>
      <c r="BE205" s="10"/>
      <c r="BF205" s="10"/>
      <c r="BG205" s="10"/>
      <c r="BH205" s="10"/>
      <c r="BI205" s="10"/>
      <c r="BJ205" s="10"/>
      <c r="BK205" s="10"/>
      <c r="BL205" s="10"/>
      <c r="BM205" s="10"/>
      <c r="BN205" s="10"/>
      <c r="BO205" s="10"/>
      <c r="BP205" s="10"/>
      <c r="BQ205" s="10"/>
      <c r="BR205" s="10"/>
      <c r="BS205" s="10"/>
      <c r="BT205" s="10"/>
      <c r="BU205" s="10"/>
      <c r="BV205" s="10"/>
      <c r="BW205" s="10"/>
      <c r="BX205" s="10"/>
      <c r="BY205" s="10"/>
      <c r="BZ205" s="10"/>
      <c r="CA205" s="10"/>
      <c r="CB205" s="10"/>
      <c r="CC205" s="10"/>
      <c r="CD205" s="10"/>
      <c r="CE205" s="10"/>
      <c r="CF205" s="10"/>
    </row>
    <row r="206" spans="1:84" x14ac:dyDescent="0.25">
      <c r="A206" s="10"/>
      <c r="B206" s="10"/>
      <c r="C206" s="12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4"/>
      <c r="X206" s="10"/>
      <c r="Y206" s="10"/>
      <c r="Z206" s="10"/>
      <c r="AA206" s="10"/>
      <c r="AB206" s="10"/>
      <c r="AC206" s="10"/>
      <c r="AD206" s="15"/>
      <c r="AE206" s="8"/>
      <c r="AF206" s="10"/>
      <c r="AG206" s="10"/>
      <c r="AH206" s="9"/>
      <c r="AI206" s="9"/>
      <c r="AJ206" s="10"/>
      <c r="AK206" s="29"/>
      <c r="AL206" s="18"/>
      <c r="AM206" s="10"/>
      <c r="AN206" s="10"/>
      <c r="AO206" s="18"/>
      <c r="AP206" s="18"/>
      <c r="AQ206" s="23"/>
      <c r="AR206" s="18"/>
      <c r="AS206" s="10"/>
      <c r="AT206" s="19"/>
      <c r="AU206" s="18"/>
      <c r="AV206" s="10"/>
      <c r="AW206" s="10"/>
      <c r="AX206" s="10"/>
      <c r="AY206" s="10"/>
      <c r="AZ206" s="10"/>
      <c r="BA206" s="10"/>
      <c r="BB206" s="10"/>
      <c r="BC206" s="10"/>
      <c r="BD206" s="10"/>
      <c r="BE206" s="10"/>
      <c r="BF206" s="10"/>
      <c r="BG206" s="10"/>
      <c r="BH206" s="10"/>
      <c r="BI206" s="10"/>
      <c r="BJ206" s="10"/>
      <c r="BK206" s="10"/>
      <c r="BL206" s="10"/>
      <c r="BM206" s="10"/>
      <c r="BN206" s="10"/>
      <c r="BO206" s="10"/>
      <c r="BP206" s="10"/>
      <c r="BQ206" s="10"/>
      <c r="BR206" s="10"/>
      <c r="BS206" s="10"/>
      <c r="BT206" s="10"/>
      <c r="BU206" s="10"/>
      <c r="BV206" s="10"/>
      <c r="BW206" s="10"/>
      <c r="BX206" s="10"/>
      <c r="BY206" s="10"/>
      <c r="BZ206" s="10"/>
      <c r="CA206" s="10"/>
      <c r="CB206" s="10"/>
      <c r="CC206" s="10"/>
      <c r="CD206" s="10"/>
      <c r="CE206" s="10"/>
      <c r="CF206" s="10"/>
    </row>
    <row r="207" spans="1:84" x14ac:dyDescent="0.25">
      <c r="A207" s="10"/>
      <c r="B207" s="10"/>
      <c r="C207" s="12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4"/>
      <c r="X207" s="10"/>
      <c r="Y207" s="10"/>
      <c r="Z207" s="10"/>
      <c r="AA207" s="10"/>
      <c r="AB207" s="10"/>
      <c r="AC207" s="10"/>
      <c r="AD207" s="15"/>
      <c r="AE207" s="8"/>
      <c r="AF207" s="10"/>
      <c r="AG207" s="10"/>
      <c r="AH207" s="9"/>
      <c r="AI207" s="9"/>
      <c r="AJ207" s="10"/>
      <c r="AK207" s="29"/>
      <c r="AL207" s="18"/>
      <c r="AM207" s="10"/>
      <c r="AN207" s="10"/>
      <c r="AO207" s="18"/>
      <c r="AP207" s="18"/>
      <c r="AQ207" s="23"/>
      <c r="AR207" s="18"/>
      <c r="AS207" s="10"/>
      <c r="AT207" s="19"/>
      <c r="AU207" s="18"/>
      <c r="AV207" s="10"/>
      <c r="AW207" s="10"/>
      <c r="AX207" s="10"/>
      <c r="AY207" s="10"/>
      <c r="AZ207" s="10"/>
      <c r="BA207" s="10"/>
      <c r="BB207" s="10"/>
      <c r="BC207" s="10"/>
      <c r="BD207" s="10"/>
      <c r="BE207" s="10"/>
      <c r="BF207" s="10"/>
      <c r="BG207" s="10"/>
      <c r="BH207" s="10"/>
      <c r="BI207" s="10"/>
      <c r="BJ207" s="10"/>
      <c r="BK207" s="10"/>
      <c r="BL207" s="10"/>
      <c r="BM207" s="10"/>
      <c r="BN207" s="10"/>
      <c r="BO207" s="10"/>
      <c r="BP207" s="10"/>
      <c r="BQ207" s="10"/>
      <c r="BR207" s="10"/>
      <c r="BS207" s="10"/>
      <c r="BT207" s="10"/>
      <c r="BU207" s="10"/>
      <c r="BV207" s="10"/>
      <c r="BW207" s="10"/>
      <c r="BX207" s="10"/>
      <c r="BY207" s="10"/>
      <c r="BZ207" s="10"/>
      <c r="CA207" s="10"/>
      <c r="CB207" s="10"/>
      <c r="CC207" s="10"/>
      <c r="CD207" s="10"/>
      <c r="CE207" s="10"/>
      <c r="CF207" s="10"/>
    </row>
    <row r="208" spans="1:84" x14ac:dyDescent="0.25">
      <c r="A208" s="10"/>
      <c r="B208" s="10"/>
      <c r="C208" s="12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4"/>
      <c r="X208" s="10"/>
      <c r="Y208" s="10"/>
      <c r="Z208" s="10"/>
      <c r="AA208" s="10"/>
      <c r="AB208" s="10"/>
      <c r="AC208" s="10"/>
      <c r="AD208" s="15"/>
      <c r="AE208" s="8"/>
      <c r="AF208" s="10"/>
      <c r="AG208" s="10"/>
      <c r="AH208" s="9"/>
      <c r="AI208" s="9"/>
      <c r="AJ208" s="10"/>
      <c r="AK208" s="29"/>
      <c r="AL208" s="18"/>
      <c r="AM208" s="10"/>
      <c r="AN208" s="10"/>
      <c r="AO208" s="18"/>
      <c r="AP208" s="18"/>
      <c r="AQ208" s="23"/>
      <c r="AR208" s="18"/>
      <c r="AS208" s="10"/>
      <c r="AT208" s="19"/>
      <c r="AU208" s="18"/>
      <c r="AV208" s="10"/>
      <c r="AW208" s="10"/>
      <c r="AX208" s="10"/>
      <c r="AY208" s="10"/>
      <c r="AZ208" s="10"/>
      <c r="BA208" s="10"/>
      <c r="BB208" s="10"/>
      <c r="BC208" s="10"/>
      <c r="BD208" s="10"/>
      <c r="BE208" s="10"/>
      <c r="BF208" s="10"/>
      <c r="BG208" s="10"/>
      <c r="BH208" s="10"/>
      <c r="BI208" s="10"/>
      <c r="BJ208" s="10"/>
      <c r="BK208" s="10"/>
      <c r="BL208" s="10"/>
      <c r="BM208" s="10"/>
      <c r="BN208" s="10"/>
      <c r="BO208" s="10"/>
      <c r="BP208" s="10"/>
      <c r="BQ208" s="10"/>
      <c r="BR208" s="10"/>
      <c r="BS208" s="10"/>
      <c r="BT208" s="10"/>
      <c r="BU208" s="10"/>
      <c r="BV208" s="10"/>
      <c r="BW208" s="10"/>
      <c r="BX208" s="10"/>
      <c r="BY208" s="10"/>
      <c r="BZ208" s="10"/>
      <c r="CA208" s="10"/>
      <c r="CB208" s="10"/>
      <c r="CC208" s="10"/>
      <c r="CD208" s="10"/>
      <c r="CE208" s="10"/>
      <c r="CF208" s="10"/>
    </row>
    <row r="209" spans="1:84" x14ac:dyDescent="0.25">
      <c r="A209" s="10"/>
      <c r="B209" s="10"/>
      <c r="C209" s="12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4"/>
      <c r="X209" s="10"/>
      <c r="Y209" s="10"/>
      <c r="Z209" s="10"/>
      <c r="AA209" s="10"/>
      <c r="AB209" s="10"/>
      <c r="AC209" s="10"/>
      <c r="AD209" s="15"/>
      <c r="AE209" s="8"/>
      <c r="AF209" s="10"/>
      <c r="AG209" s="10"/>
      <c r="AH209" s="9"/>
      <c r="AI209" s="9"/>
      <c r="AJ209" s="10"/>
      <c r="AK209" s="29"/>
      <c r="AL209" s="18"/>
      <c r="AM209" s="10"/>
      <c r="AN209" s="10"/>
      <c r="AO209" s="18"/>
      <c r="AP209" s="18"/>
      <c r="AQ209" s="23"/>
      <c r="AR209" s="18"/>
      <c r="AS209" s="10"/>
      <c r="AT209" s="19"/>
      <c r="AU209" s="18"/>
      <c r="AV209" s="10"/>
      <c r="AW209" s="10"/>
      <c r="AX209" s="10"/>
      <c r="AY209" s="10"/>
      <c r="AZ209" s="10"/>
      <c r="BA209" s="10"/>
      <c r="BB209" s="10"/>
      <c r="BC209" s="10"/>
      <c r="BD209" s="10"/>
      <c r="BE209" s="10"/>
      <c r="BF209" s="10"/>
      <c r="BG209" s="10"/>
      <c r="BH209" s="10"/>
      <c r="BI209" s="10"/>
      <c r="BJ209" s="10"/>
      <c r="BK209" s="10"/>
      <c r="BL209" s="10"/>
      <c r="BM209" s="10"/>
      <c r="BN209" s="10"/>
      <c r="BO209" s="10"/>
      <c r="BP209" s="10"/>
      <c r="BQ209" s="10"/>
      <c r="BR209" s="10"/>
      <c r="BS209" s="10"/>
      <c r="BT209" s="10"/>
      <c r="BU209" s="10"/>
      <c r="BV209" s="10"/>
      <c r="BW209" s="10"/>
      <c r="BX209" s="10"/>
      <c r="BY209" s="10"/>
      <c r="BZ209" s="10"/>
      <c r="CA209" s="10"/>
      <c r="CB209" s="10"/>
      <c r="CC209" s="10"/>
      <c r="CD209" s="10"/>
      <c r="CE209" s="10"/>
      <c r="CF209" s="10"/>
    </row>
    <row r="210" spans="1:84" x14ac:dyDescent="0.25">
      <c r="A210" s="10"/>
      <c r="B210" s="10"/>
      <c r="C210" s="12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4"/>
      <c r="X210" s="10"/>
      <c r="Y210" s="10"/>
      <c r="Z210" s="10"/>
      <c r="AA210" s="10"/>
      <c r="AB210" s="10"/>
      <c r="AC210" s="10"/>
      <c r="AD210" s="15"/>
      <c r="AE210" s="8"/>
      <c r="AF210" s="10"/>
      <c r="AG210" s="10"/>
      <c r="AH210" s="9"/>
      <c r="AI210" s="9"/>
      <c r="AJ210" s="10"/>
      <c r="AK210" s="29"/>
      <c r="AL210" s="18"/>
      <c r="AM210" s="10"/>
      <c r="AN210" s="10"/>
      <c r="AO210" s="18"/>
      <c r="AP210" s="18"/>
      <c r="AQ210" s="23"/>
      <c r="AR210" s="18"/>
      <c r="AS210" s="10"/>
      <c r="AT210" s="19"/>
      <c r="AU210" s="18"/>
      <c r="AV210" s="10"/>
      <c r="AW210" s="10"/>
      <c r="AX210" s="10"/>
      <c r="AY210" s="10"/>
      <c r="AZ210" s="10"/>
      <c r="BA210" s="10"/>
      <c r="BB210" s="10"/>
      <c r="BC210" s="10"/>
      <c r="BD210" s="10"/>
      <c r="BE210" s="10"/>
      <c r="BF210" s="10"/>
      <c r="BG210" s="10"/>
      <c r="BH210" s="10"/>
      <c r="BI210" s="10"/>
      <c r="BJ210" s="10"/>
      <c r="BK210" s="10"/>
      <c r="BL210" s="10"/>
      <c r="BM210" s="10"/>
      <c r="BN210" s="10"/>
      <c r="BO210" s="10"/>
      <c r="BP210" s="10"/>
      <c r="BQ210" s="10"/>
      <c r="BR210" s="10"/>
      <c r="BS210" s="10"/>
      <c r="BT210" s="10"/>
      <c r="BU210" s="10"/>
      <c r="BV210" s="10"/>
      <c r="BW210" s="10"/>
      <c r="BX210" s="10"/>
      <c r="BY210" s="10"/>
      <c r="BZ210" s="10"/>
      <c r="CA210" s="10"/>
      <c r="CB210" s="10"/>
      <c r="CC210" s="10"/>
      <c r="CD210" s="10"/>
      <c r="CE210" s="10"/>
      <c r="CF210" s="10"/>
    </row>
    <row r="211" spans="1:84" x14ac:dyDescent="0.25">
      <c r="A211" s="10"/>
      <c r="B211" s="10"/>
      <c r="C211" s="12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4"/>
      <c r="X211" s="10"/>
      <c r="Y211" s="10"/>
      <c r="Z211" s="10"/>
      <c r="AA211" s="10"/>
      <c r="AB211" s="10"/>
      <c r="AC211" s="10"/>
      <c r="AD211" s="15"/>
      <c r="AE211" s="8"/>
      <c r="AF211" s="10"/>
      <c r="AG211" s="10"/>
      <c r="AH211" s="9"/>
      <c r="AI211" s="9"/>
      <c r="AJ211" s="10"/>
      <c r="AK211" s="29"/>
      <c r="AL211" s="18"/>
      <c r="AM211" s="10"/>
      <c r="AN211" s="10"/>
      <c r="AO211" s="18"/>
      <c r="AP211" s="18"/>
      <c r="AQ211" s="23"/>
      <c r="AR211" s="18"/>
      <c r="AS211" s="10"/>
      <c r="AT211" s="19"/>
      <c r="AU211" s="18"/>
      <c r="AV211" s="10"/>
      <c r="AW211" s="10"/>
      <c r="AX211" s="10"/>
      <c r="AY211" s="10"/>
      <c r="AZ211" s="10"/>
      <c r="BA211" s="10"/>
      <c r="BB211" s="10"/>
      <c r="BC211" s="10"/>
      <c r="BD211" s="10"/>
      <c r="BE211" s="10"/>
      <c r="BF211" s="10"/>
      <c r="BG211" s="10"/>
      <c r="BH211" s="10"/>
      <c r="BI211" s="10"/>
      <c r="BJ211" s="10"/>
      <c r="BK211" s="10"/>
      <c r="BL211" s="10"/>
      <c r="BM211" s="10"/>
      <c r="BN211" s="10"/>
      <c r="BO211" s="10"/>
      <c r="BP211" s="10"/>
      <c r="BQ211" s="10"/>
      <c r="BR211" s="10"/>
      <c r="BS211" s="10"/>
      <c r="BT211" s="10"/>
      <c r="BU211" s="10"/>
      <c r="BV211" s="10"/>
      <c r="BW211" s="10"/>
      <c r="BX211" s="10"/>
      <c r="BY211" s="10"/>
      <c r="BZ211" s="10"/>
      <c r="CA211" s="10"/>
      <c r="CB211" s="10"/>
      <c r="CC211" s="10"/>
      <c r="CD211" s="10"/>
      <c r="CE211" s="10"/>
      <c r="CF211" s="10"/>
    </row>
    <row r="212" spans="1:84" x14ac:dyDescent="0.25">
      <c r="A212" s="10"/>
      <c r="B212" s="10"/>
      <c r="C212" s="12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4"/>
      <c r="X212" s="10"/>
      <c r="Y212" s="10"/>
      <c r="Z212" s="10"/>
      <c r="AA212" s="10"/>
      <c r="AB212" s="10"/>
      <c r="AC212" s="10"/>
      <c r="AD212" s="15"/>
      <c r="AE212" s="8"/>
      <c r="AF212" s="10"/>
      <c r="AG212" s="10"/>
      <c r="AH212" s="9"/>
      <c r="AI212" s="9"/>
      <c r="AJ212" s="10"/>
      <c r="AK212" s="29"/>
      <c r="AL212" s="18"/>
      <c r="AM212" s="10"/>
      <c r="AN212" s="10"/>
      <c r="AO212" s="18"/>
      <c r="AP212" s="18"/>
      <c r="AQ212" s="23"/>
      <c r="AR212" s="18"/>
      <c r="AS212" s="10"/>
      <c r="AT212" s="19"/>
      <c r="AU212" s="18"/>
      <c r="AV212" s="10"/>
      <c r="AW212" s="10"/>
      <c r="AX212" s="10"/>
      <c r="AY212" s="10"/>
      <c r="AZ212" s="10"/>
      <c r="BA212" s="10"/>
      <c r="BB212" s="10"/>
      <c r="BC212" s="10"/>
      <c r="BD212" s="10"/>
      <c r="BE212" s="10"/>
      <c r="BF212" s="10"/>
      <c r="BG212" s="10"/>
      <c r="BH212" s="10"/>
      <c r="BI212" s="10"/>
      <c r="BJ212" s="10"/>
      <c r="BK212" s="10"/>
      <c r="BL212" s="10"/>
      <c r="BM212" s="10"/>
      <c r="BN212" s="10"/>
      <c r="BO212" s="10"/>
      <c r="BP212" s="10"/>
      <c r="BQ212" s="10"/>
      <c r="BR212" s="10"/>
      <c r="BS212" s="10"/>
      <c r="BT212" s="10"/>
      <c r="BU212" s="10"/>
      <c r="BV212" s="10"/>
      <c r="BW212" s="10"/>
      <c r="BX212" s="10"/>
      <c r="BY212" s="10"/>
      <c r="BZ212" s="10"/>
      <c r="CA212" s="10"/>
      <c r="CB212" s="10"/>
      <c r="CC212" s="10"/>
      <c r="CD212" s="10"/>
      <c r="CE212" s="10"/>
      <c r="CF212" s="10"/>
    </row>
    <row r="213" spans="1:84" x14ac:dyDescent="0.25">
      <c r="A213" s="10"/>
      <c r="B213" s="10"/>
      <c r="C213" s="12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4"/>
      <c r="X213" s="10"/>
      <c r="Y213" s="10"/>
      <c r="Z213" s="10"/>
      <c r="AA213" s="10"/>
      <c r="AB213" s="10"/>
      <c r="AC213" s="10"/>
      <c r="AD213" s="15"/>
      <c r="AE213" s="8"/>
      <c r="AF213" s="10"/>
      <c r="AG213" s="10"/>
      <c r="AH213" s="9"/>
      <c r="AI213" s="9"/>
      <c r="AJ213" s="10"/>
      <c r="AK213" s="29"/>
      <c r="AL213" s="18"/>
      <c r="AM213" s="10"/>
      <c r="AN213" s="10"/>
      <c r="AO213" s="18"/>
      <c r="AP213" s="18"/>
      <c r="AQ213" s="23"/>
      <c r="AR213" s="18"/>
      <c r="AS213" s="10"/>
      <c r="AT213" s="19"/>
      <c r="AU213" s="18"/>
      <c r="AV213" s="10"/>
      <c r="AW213" s="10"/>
      <c r="AX213" s="10"/>
      <c r="AY213" s="10"/>
      <c r="AZ213" s="10"/>
      <c r="BA213" s="10"/>
      <c r="BB213" s="10"/>
      <c r="BC213" s="10"/>
      <c r="BD213" s="10"/>
      <c r="BE213" s="10"/>
      <c r="BF213" s="10"/>
      <c r="BG213" s="10"/>
      <c r="BH213" s="10"/>
      <c r="BI213" s="10"/>
      <c r="BJ213" s="10"/>
      <c r="BK213" s="10"/>
      <c r="BL213" s="10"/>
      <c r="BM213" s="10"/>
      <c r="BN213" s="10"/>
      <c r="BO213" s="10"/>
      <c r="BP213" s="10"/>
      <c r="BQ213" s="10"/>
      <c r="BR213" s="10"/>
      <c r="BS213" s="10"/>
      <c r="BT213" s="10"/>
      <c r="BU213" s="10"/>
      <c r="BV213" s="10"/>
      <c r="BW213" s="10"/>
      <c r="BX213" s="10"/>
      <c r="BY213" s="10"/>
      <c r="BZ213" s="10"/>
      <c r="CA213" s="10"/>
      <c r="CB213" s="10"/>
      <c r="CC213" s="10"/>
      <c r="CD213" s="10"/>
      <c r="CE213" s="10"/>
      <c r="CF213" s="10"/>
    </row>
    <row r="214" spans="1:84" x14ac:dyDescent="0.25">
      <c r="A214" s="10"/>
      <c r="B214" s="10"/>
      <c r="C214" s="12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4"/>
      <c r="X214" s="10"/>
      <c r="Y214" s="10"/>
      <c r="Z214" s="10"/>
      <c r="AA214" s="10"/>
      <c r="AB214" s="10"/>
      <c r="AC214" s="10"/>
      <c r="AD214" s="15"/>
      <c r="AE214" s="8"/>
      <c r="AF214" s="10"/>
      <c r="AG214" s="10"/>
      <c r="AH214" s="9"/>
      <c r="AI214" s="9"/>
      <c r="AJ214" s="10"/>
      <c r="AK214" s="29"/>
      <c r="AL214" s="18"/>
      <c r="AM214" s="10"/>
      <c r="AN214" s="10"/>
      <c r="AO214" s="18"/>
      <c r="AP214" s="18"/>
      <c r="AQ214" s="23"/>
      <c r="AR214" s="18"/>
      <c r="AS214" s="10"/>
      <c r="AT214" s="19"/>
      <c r="AU214" s="18"/>
      <c r="AV214" s="10"/>
      <c r="AW214" s="10"/>
      <c r="AX214" s="10"/>
      <c r="AY214" s="10"/>
      <c r="AZ214" s="10"/>
      <c r="BA214" s="10"/>
      <c r="BB214" s="10"/>
      <c r="BC214" s="10"/>
      <c r="BD214" s="10"/>
      <c r="BE214" s="10"/>
      <c r="BF214" s="10"/>
      <c r="BG214" s="10"/>
      <c r="BH214" s="10"/>
      <c r="BI214" s="10"/>
      <c r="BJ214" s="10"/>
      <c r="BK214" s="10"/>
      <c r="BL214" s="10"/>
      <c r="BM214" s="10"/>
      <c r="BN214" s="10"/>
      <c r="BO214" s="10"/>
      <c r="BP214" s="10"/>
      <c r="BQ214" s="10"/>
      <c r="BR214" s="10"/>
      <c r="BS214" s="10"/>
      <c r="BT214" s="10"/>
      <c r="BU214" s="10"/>
      <c r="BV214" s="10"/>
      <c r="BW214" s="10"/>
      <c r="BX214" s="10"/>
      <c r="BY214" s="10"/>
      <c r="BZ214" s="10"/>
      <c r="CA214" s="10"/>
      <c r="CB214" s="10"/>
      <c r="CC214" s="10"/>
      <c r="CD214" s="10"/>
      <c r="CE214" s="10"/>
      <c r="CF214" s="10"/>
    </row>
    <row r="215" spans="1:84" x14ac:dyDescent="0.25">
      <c r="A215" s="10"/>
      <c r="B215" s="10"/>
      <c r="C215" s="12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4"/>
      <c r="X215" s="10"/>
      <c r="Y215" s="10"/>
      <c r="Z215" s="10"/>
      <c r="AA215" s="10"/>
      <c r="AB215" s="10"/>
      <c r="AC215" s="10"/>
      <c r="AD215" s="15"/>
      <c r="AE215" s="8"/>
      <c r="AF215" s="10"/>
      <c r="AG215" s="10"/>
      <c r="AH215" s="9"/>
      <c r="AI215" s="9"/>
      <c r="AJ215" s="10"/>
      <c r="AK215" s="29"/>
      <c r="AL215" s="18"/>
      <c r="AM215" s="10"/>
      <c r="AN215" s="10"/>
      <c r="AO215" s="18"/>
      <c r="AP215" s="18"/>
      <c r="AQ215" s="23"/>
      <c r="AR215" s="18"/>
      <c r="AS215" s="10"/>
      <c r="AT215" s="19"/>
      <c r="AU215" s="18"/>
      <c r="AV215" s="10"/>
      <c r="AW215" s="10"/>
      <c r="AX215" s="10"/>
      <c r="AY215" s="10"/>
      <c r="AZ215" s="10"/>
      <c r="BA215" s="10"/>
      <c r="BB215" s="10"/>
      <c r="BC215" s="10"/>
      <c r="BD215" s="10"/>
      <c r="BE215" s="10"/>
      <c r="BF215" s="10"/>
      <c r="BG215" s="10"/>
      <c r="BH215" s="10"/>
      <c r="BI215" s="10"/>
      <c r="BJ215" s="10"/>
      <c r="BK215" s="10"/>
      <c r="BL215" s="10"/>
      <c r="BM215" s="10"/>
      <c r="BN215" s="10"/>
      <c r="BO215" s="10"/>
      <c r="BP215" s="10"/>
      <c r="BQ215" s="10"/>
      <c r="BR215" s="10"/>
      <c r="BS215" s="10"/>
      <c r="BT215" s="10"/>
      <c r="BU215" s="10"/>
      <c r="BV215" s="10"/>
      <c r="BW215" s="10"/>
      <c r="BX215" s="10"/>
      <c r="BY215" s="10"/>
      <c r="BZ215" s="10"/>
      <c r="CA215" s="10"/>
      <c r="CB215" s="10"/>
      <c r="CC215" s="10"/>
      <c r="CD215" s="10"/>
      <c r="CE215" s="10"/>
      <c r="CF215" s="10"/>
    </row>
    <row r="216" spans="1:84" x14ac:dyDescent="0.25">
      <c r="A216" s="10"/>
      <c r="B216" s="10"/>
      <c r="C216" s="12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4"/>
      <c r="X216" s="10"/>
      <c r="Y216" s="10"/>
      <c r="Z216" s="10"/>
      <c r="AA216" s="10"/>
      <c r="AB216" s="10"/>
      <c r="AC216" s="10"/>
      <c r="AD216" s="15"/>
      <c r="AE216" s="8"/>
      <c r="AF216" s="10"/>
      <c r="AG216" s="10"/>
      <c r="AH216" s="9"/>
      <c r="AI216" s="9"/>
      <c r="AJ216" s="10"/>
      <c r="AK216" s="29"/>
      <c r="AL216" s="18"/>
      <c r="AM216" s="10"/>
      <c r="AN216" s="10"/>
      <c r="AO216" s="18"/>
      <c r="AP216" s="18"/>
      <c r="AQ216" s="23"/>
      <c r="AR216" s="18"/>
      <c r="AS216" s="10"/>
      <c r="AT216" s="19"/>
      <c r="AU216" s="18"/>
      <c r="AV216" s="10"/>
      <c r="AW216" s="10"/>
      <c r="AX216" s="10"/>
      <c r="AY216" s="10"/>
      <c r="AZ216" s="10"/>
      <c r="BA216" s="10"/>
      <c r="BB216" s="10"/>
      <c r="BC216" s="10"/>
      <c r="BD216" s="10"/>
      <c r="BE216" s="10"/>
      <c r="BF216" s="10"/>
      <c r="BG216" s="10"/>
      <c r="BH216" s="10"/>
      <c r="BI216" s="10"/>
      <c r="BJ216" s="10"/>
      <c r="BK216" s="10"/>
      <c r="BL216" s="10"/>
      <c r="BM216" s="10"/>
      <c r="BN216" s="10"/>
      <c r="BO216" s="10"/>
      <c r="BP216" s="10"/>
      <c r="BQ216" s="10"/>
      <c r="BR216" s="10"/>
      <c r="BS216" s="10"/>
      <c r="BT216" s="10"/>
      <c r="BU216" s="10"/>
      <c r="BV216" s="10"/>
      <c r="BW216" s="10"/>
      <c r="BX216" s="10"/>
      <c r="BY216" s="10"/>
      <c r="BZ216" s="10"/>
      <c r="CA216" s="10"/>
      <c r="CB216" s="10"/>
      <c r="CC216" s="10"/>
      <c r="CD216" s="10"/>
      <c r="CE216" s="10"/>
      <c r="CF216" s="10"/>
    </row>
    <row r="217" spans="1:84" x14ac:dyDescent="0.25">
      <c r="A217" s="10"/>
      <c r="B217" s="10"/>
      <c r="C217" s="12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4"/>
      <c r="X217" s="10"/>
      <c r="Y217" s="10"/>
      <c r="Z217" s="10"/>
      <c r="AA217" s="10"/>
      <c r="AB217" s="10"/>
      <c r="AC217" s="10"/>
      <c r="AD217" s="15"/>
      <c r="AE217" s="8"/>
      <c r="AF217" s="10"/>
      <c r="AG217" s="10"/>
      <c r="AH217" s="9"/>
      <c r="AI217" s="9"/>
      <c r="AJ217" s="10"/>
      <c r="AK217" s="29"/>
      <c r="AL217" s="18"/>
      <c r="AM217" s="10"/>
      <c r="AN217" s="10"/>
      <c r="AO217" s="18"/>
      <c r="AP217" s="18"/>
      <c r="AQ217" s="23"/>
      <c r="AR217" s="18"/>
      <c r="AS217" s="10"/>
      <c r="AT217" s="19"/>
      <c r="AU217" s="18"/>
      <c r="AV217" s="10"/>
      <c r="AW217" s="10"/>
      <c r="AX217" s="10"/>
      <c r="AY217" s="10"/>
      <c r="AZ217" s="10"/>
      <c r="BA217" s="10"/>
      <c r="BB217" s="10"/>
      <c r="BC217" s="10"/>
      <c r="BD217" s="10"/>
      <c r="BE217" s="10"/>
      <c r="BF217" s="10"/>
      <c r="BG217" s="10"/>
      <c r="BH217" s="10"/>
      <c r="BI217" s="10"/>
      <c r="BJ217" s="10"/>
      <c r="BK217" s="10"/>
      <c r="BL217" s="10"/>
      <c r="BM217" s="10"/>
      <c r="BN217" s="10"/>
      <c r="BO217" s="10"/>
      <c r="BP217" s="10"/>
      <c r="BQ217" s="10"/>
      <c r="BR217" s="10"/>
      <c r="BS217" s="10"/>
      <c r="BT217" s="10"/>
      <c r="BU217" s="10"/>
      <c r="BV217" s="10"/>
      <c r="BW217" s="10"/>
      <c r="BX217" s="10"/>
      <c r="BY217" s="10"/>
      <c r="BZ217" s="10"/>
      <c r="CA217" s="10"/>
      <c r="CB217" s="10"/>
      <c r="CC217" s="10"/>
      <c r="CD217" s="10"/>
      <c r="CE217" s="10"/>
      <c r="CF217" s="10"/>
    </row>
    <row r="218" spans="1:84" x14ac:dyDescent="0.25">
      <c r="A218" s="10"/>
      <c r="B218" s="10"/>
      <c r="C218" s="12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4"/>
      <c r="X218" s="10"/>
      <c r="Y218" s="10"/>
      <c r="Z218" s="10"/>
      <c r="AA218" s="10"/>
      <c r="AB218" s="10"/>
      <c r="AC218" s="10"/>
      <c r="AD218" s="15"/>
      <c r="AE218" s="8"/>
      <c r="AF218" s="10"/>
      <c r="AG218" s="10"/>
      <c r="AH218" s="9"/>
      <c r="AI218" s="9"/>
      <c r="AJ218" s="10"/>
      <c r="AK218" s="29"/>
      <c r="AL218" s="18"/>
      <c r="AM218" s="10"/>
      <c r="AN218" s="10"/>
      <c r="AO218" s="18"/>
      <c r="AP218" s="18"/>
      <c r="AQ218" s="23"/>
      <c r="AR218" s="18"/>
      <c r="AS218" s="10"/>
      <c r="AT218" s="19"/>
      <c r="AU218" s="18"/>
      <c r="AV218" s="10"/>
      <c r="AW218" s="10"/>
      <c r="AX218" s="10"/>
      <c r="AY218" s="10"/>
      <c r="AZ218" s="10"/>
      <c r="BA218" s="10"/>
      <c r="BB218" s="10"/>
      <c r="BC218" s="10"/>
      <c r="BD218" s="10"/>
      <c r="BE218" s="10"/>
      <c r="BF218" s="10"/>
      <c r="BG218" s="10"/>
      <c r="BH218" s="10"/>
      <c r="BI218" s="10"/>
      <c r="BJ218" s="10"/>
      <c r="BK218" s="10"/>
      <c r="BL218" s="10"/>
      <c r="BM218" s="10"/>
      <c r="BN218" s="10"/>
      <c r="BO218" s="10"/>
      <c r="BP218" s="10"/>
      <c r="BQ218" s="10"/>
      <c r="BR218" s="10"/>
      <c r="BS218" s="10"/>
      <c r="BT218" s="10"/>
      <c r="BU218" s="10"/>
      <c r="BV218" s="10"/>
      <c r="BW218" s="10"/>
      <c r="BX218" s="10"/>
      <c r="BY218" s="10"/>
      <c r="BZ218" s="10"/>
      <c r="CA218" s="10"/>
      <c r="CB218" s="10"/>
      <c r="CC218" s="10"/>
      <c r="CD218" s="10"/>
      <c r="CE218" s="10"/>
      <c r="CF218" s="10"/>
    </row>
    <row r="219" spans="1:84" x14ac:dyDescent="0.25">
      <c r="A219" s="10"/>
      <c r="B219" s="10"/>
      <c r="C219" s="12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4"/>
      <c r="X219" s="10"/>
      <c r="Y219" s="10"/>
      <c r="Z219" s="10"/>
      <c r="AA219" s="10"/>
      <c r="AB219" s="10"/>
      <c r="AC219" s="10"/>
      <c r="AD219" s="15"/>
      <c r="AE219" s="8"/>
      <c r="AF219" s="10"/>
      <c r="AG219" s="10"/>
      <c r="AH219" s="9"/>
      <c r="AI219" s="9"/>
      <c r="AJ219" s="10"/>
      <c r="AK219" s="29"/>
      <c r="AL219" s="18"/>
      <c r="AM219" s="10"/>
      <c r="AN219" s="10"/>
      <c r="AO219" s="18"/>
      <c r="AP219" s="18"/>
      <c r="AQ219" s="23"/>
      <c r="AR219" s="18"/>
      <c r="AS219" s="10"/>
      <c r="AT219" s="19"/>
      <c r="AU219" s="18"/>
      <c r="AV219" s="10"/>
      <c r="AW219" s="10"/>
      <c r="AX219" s="10"/>
      <c r="AY219" s="10"/>
      <c r="AZ219" s="10"/>
      <c r="BA219" s="10"/>
      <c r="BB219" s="10"/>
      <c r="BC219" s="10"/>
      <c r="BD219" s="10"/>
      <c r="BE219" s="10"/>
      <c r="BF219" s="10"/>
      <c r="BG219" s="10"/>
      <c r="BH219" s="10"/>
      <c r="BI219" s="10"/>
      <c r="BJ219" s="10"/>
      <c r="BK219" s="10"/>
      <c r="BL219" s="10"/>
      <c r="BM219" s="10"/>
      <c r="BN219" s="10"/>
      <c r="BO219" s="10"/>
      <c r="BP219" s="10"/>
      <c r="BQ219" s="10"/>
      <c r="BR219" s="10"/>
      <c r="BS219" s="10"/>
      <c r="BT219" s="10"/>
      <c r="BU219" s="10"/>
      <c r="BV219" s="10"/>
      <c r="BW219" s="10"/>
      <c r="BX219" s="10"/>
      <c r="BY219" s="10"/>
      <c r="BZ219" s="10"/>
      <c r="CA219" s="10"/>
      <c r="CB219" s="10"/>
      <c r="CC219" s="10"/>
      <c r="CD219" s="10"/>
      <c r="CE219" s="10"/>
      <c r="CF219" s="10"/>
    </row>
    <row r="220" spans="1:84" x14ac:dyDescent="0.25">
      <c r="A220" s="10"/>
      <c r="B220" s="10"/>
      <c r="C220" s="12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4"/>
      <c r="X220" s="10"/>
      <c r="Y220" s="10"/>
      <c r="Z220" s="10"/>
      <c r="AA220" s="10"/>
      <c r="AB220" s="10"/>
      <c r="AC220" s="10"/>
      <c r="AD220" s="15"/>
      <c r="AE220" s="8"/>
      <c r="AF220" s="10"/>
      <c r="AG220" s="10"/>
      <c r="AH220" s="9"/>
      <c r="AI220" s="9"/>
      <c r="AJ220" s="10"/>
      <c r="AK220" s="29"/>
      <c r="AL220" s="18"/>
      <c r="AM220" s="10"/>
      <c r="AN220" s="10"/>
      <c r="AO220" s="18"/>
      <c r="AP220" s="18"/>
      <c r="AQ220" s="23"/>
      <c r="AR220" s="18"/>
      <c r="AS220" s="10"/>
      <c r="AT220" s="19"/>
      <c r="AU220" s="18"/>
      <c r="AV220" s="10"/>
      <c r="AW220" s="10"/>
      <c r="AX220" s="10"/>
      <c r="AY220" s="10"/>
      <c r="AZ220" s="10"/>
      <c r="BA220" s="10"/>
      <c r="BB220" s="10"/>
      <c r="BC220" s="10"/>
      <c r="BD220" s="10"/>
      <c r="BE220" s="10"/>
      <c r="BF220" s="10"/>
      <c r="BG220" s="10"/>
      <c r="BH220" s="10"/>
      <c r="BI220" s="10"/>
      <c r="BJ220" s="10"/>
      <c r="BK220" s="10"/>
      <c r="BL220" s="10"/>
      <c r="BM220" s="10"/>
      <c r="BN220" s="10"/>
      <c r="BO220" s="10"/>
      <c r="BP220" s="10"/>
      <c r="BQ220" s="10"/>
      <c r="BR220" s="10"/>
      <c r="BS220" s="10"/>
      <c r="BT220" s="10"/>
      <c r="BU220" s="10"/>
      <c r="BV220" s="10"/>
      <c r="BW220" s="10"/>
      <c r="BX220" s="10"/>
      <c r="BY220" s="10"/>
      <c r="BZ220" s="10"/>
      <c r="CA220" s="10"/>
      <c r="CB220" s="10"/>
      <c r="CC220" s="10"/>
      <c r="CD220" s="10"/>
      <c r="CE220" s="10"/>
      <c r="CF220" s="10"/>
    </row>
    <row r="221" spans="1:84" x14ac:dyDescent="0.25">
      <c r="A221" s="10"/>
      <c r="B221" s="10"/>
      <c r="C221" s="12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4"/>
      <c r="X221" s="10"/>
      <c r="Y221" s="10"/>
      <c r="Z221" s="10"/>
      <c r="AA221" s="10"/>
      <c r="AB221" s="10"/>
      <c r="AC221" s="10"/>
      <c r="AD221" s="15"/>
      <c r="AE221" s="8"/>
      <c r="AF221" s="10"/>
      <c r="AG221" s="10"/>
      <c r="AH221" s="9"/>
      <c r="AI221" s="9"/>
      <c r="AJ221" s="10"/>
      <c r="AK221" s="29"/>
      <c r="AL221" s="18"/>
      <c r="AM221" s="10"/>
      <c r="AN221" s="10"/>
      <c r="AO221" s="18"/>
      <c r="AP221" s="18"/>
      <c r="AQ221" s="23"/>
      <c r="AR221" s="18"/>
      <c r="AS221" s="10"/>
      <c r="AT221" s="19"/>
      <c r="AU221" s="18"/>
      <c r="AV221" s="10"/>
      <c r="AW221" s="10"/>
      <c r="AX221" s="10"/>
      <c r="AY221" s="10"/>
      <c r="AZ221" s="10"/>
      <c r="BA221" s="10"/>
      <c r="BB221" s="10"/>
      <c r="BC221" s="10"/>
      <c r="BD221" s="10"/>
      <c r="BE221" s="10"/>
      <c r="BF221" s="10"/>
      <c r="BG221" s="10"/>
      <c r="BH221" s="10"/>
      <c r="BI221" s="10"/>
      <c r="BJ221" s="10"/>
      <c r="BK221" s="10"/>
      <c r="BL221" s="10"/>
      <c r="BM221" s="10"/>
      <c r="BN221" s="10"/>
      <c r="BO221" s="10"/>
      <c r="BP221" s="10"/>
      <c r="BQ221" s="10"/>
      <c r="BR221" s="10"/>
      <c r="BS221" s="10"/>
      <c r="BT221" s="10"/>
      <c r="BU221" s="10"/>
      <c r="BV221" s="10"/>
      <c r="BW221" s="10"/>
      <c r="BX221" s="10"/>
      <c r="BY221" s="10"/>
      <c r="BZ221" s="10"/>
      <c r="CA221" s="10"/>
      <c r="CB221" s="10"/>
      <c r="CC221" s="10"/>
      <c r="CD221" s="10"/>
      <c r="CE221" s="10"/>
      <c r="CF221" s="10"/>
    </row>
    <row r="222" spans="1:84" x14ac:dyDescent="0.25">
      <c r="A222" s="10"/>
      <c r="B222" s="10"/>
      <c r="C222" s="12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4"/>
      <c r="X222" s="10"/>
      <c r="Y222" s="10"/>
      <c r="Z222" s="10"/>
      <c r="AA222" s="10"/>
      <c r="AB222" s="10"/>
      <c r="AC222" s="10"/>
      <c r="AD222" s="15"/>
      <c r="AE222" s="8"/>
      <c r="AF222" s="10"/>
      <c r="AG222" s="10"/>
      <c r="AH222" s="9"/>
      <c r="AI222" s="9"/>
      <c r="AJ222" s="10"/>
      <c r="AK222" s="29"/>
      <c r="AL222" s="18"/>
      <c r="AM222" s="10"/>
      <c r="AN222" s="10"/>
      <c r="AO222" s="18"/>
      <c r="AP222" s="18"/>
      <c r="AQ222" s="23"/>
      <c r="AR222" s="18"/>
      <c r="AS222" s="10"/>
      <c r="AT222" s="19"/>
      <c r="AU222" s="18"/>
      <c r="AV222" s="10"/>
      <c r="AW222" s="10"/>
      <c r="AX222" s="10"/>
      <c r="AY222" s="10"/>
      <c r="AZ222" s="10"/>
      <c r="BA222" s="10"/>
      <c r="BB222" s="10"/>
      <c r="BC222" s="10"/>
      <c r="BD222" s="10"/>
      <c r="BE222" s="10"/>
      <c r="BF222" s="10"/>
      <c r="BG222" s="10"/>
      <c r="BH222" s="10"/>
      <c r="BI222" s="10"/>
      <c r="BJ222" s="10"/>
      <c r="BK222" s="10"/>
      <c r="BL222" s="10"/>
      <c r="BM222" s="10"/>
      <c r="BN222" s="10"/>
      <c r="BO222" s="10"/>
      <c r="BP222" s="10"/>
      <c r="BQ222" s="10"/>
      <c r="BR222" s="10"/>
      <c r="BS222" s="10"/>
      <c r="BT222" s="10"/>
      <c r="BU222" s="10"/>
      <c r="BV222" s="10"/>
      <c r="BW222" s="10"/>
      <c r="BX222" s="10"/>
      <c r="BY222" s="10"/>
      <c r="BZ222" s="10"/>
      <c r="CA222" s="10"/>
      <c r="CB222" s="10"/>
      <c r="CC222" s="10"/>
      <c r="CD222" s="10"/>
      <c r="CE222" s="10"/>
      <c r="CF222" s="10"/>
    </row>
    <row r="223" spans="1:84" x14ac:dyDescent="0.25">
      <c r="A223" s="10"/>
      <c r="B223" s="10"/>
      <c r="C223" s="12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4"/>
      <c r="X223" s="10"/>
      <c r="Y223" s="10"/>
      <c r="Z223" s="10"/>
      <c r="AA223" s="10"/>
      <c r="AB223" s="10"/>
      <c r="AC223" s="10"/>
      <c r="AD223" s="15"/>
      <c r="AE223" s="8"/>
      <c r="AF223" s="10"/>
      <c r="AG223" s="10"/>
      <c r="AH223" s="9"/>
      <c r="AI223" s="9"/>
      <c r="AJ223" s="10"/>
      <c r="AK223" s="29"/>
      <c r="AL223" s="18"/>
      <c r="AM223" s="10"/>
      <c r="AN223" s="10"/>
      <c r="AO223" s="18"/>
      <c r="AP223" s="18"/>
      <c r="AQ223" s="23"/>
      <c r="AR223" s="18"/>
      <c r="AS223" s="10"/>
      <c r="AT223" s="19"/>
      <c r="AU223" s="18"/>
      <c r="AV223" s="10"/>
      <c r="AW223" s="10"/>
      <c r="AX223" s="10"/>
      <c r="AY223" s="10"/>
      <c r="AZ223" s="10"/>
      <c r="BA223" s="10"/>
      <c r="BB223" s="10"/>
      <c r="BC223" s="10"/>
      <c r="BD223" s="10"/>
      <c r="BE223" s="10"/>
      <c r="BF223" s="10"/>
      <c r="BG223" s="10"/>
      <c r="BH223" s="10"/>
      <c r="BI223" s="10"/>
      <c r="BJ223" s="10"/>
      <c r="BK223" s="10"/>
      <c r="BL223" s="10"/>
      <c r="BM223" s="10"/>
      <c r="BN223" s="10"/>
      <c r="BO223" s="10"/>
      <c r="BP223" s="10"/>
      <c r="BQ223" s="10"/>
      <c r="BR223" s="10"/>
      <c r="BS223" s="10"/>
      <c r="BT223" s="10"/>
      <c r="BU223" s="10"/>
      <c r="BV223" s="10"/>
      <c r="BW223" s="10"/>
      <c r="BX223" s="10"/>
      <c r="BY223" s="10"/>
      <c r="BZ223" s="10"/>
      <c r="CA223" s="10"/>
      <c r="CB223" s="10"/>
      <c r="CC223" s="10"/>
      <c r="CD223" s="10"/>
      <c r="CE223" s="10"/>
      <c r="CF223" s="10"/>
    </row>
    <row r="224" spans="1:84" x14ac:dyDescent="0.25">
      <c r="A224" s="10"/>
      <c r="B224" s="10"/>
      <c r="C224" s="12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4"/>
      <c r="X224" s="10"/>
      <c r="Y224" s="10"/>
      <c r="Z224" s="10"/>
      <c r="AA224" s="10"/>
      <c r="AB224" s="10"/>
      <c r="AC224" s="10"/>
      <c r="AD224" s="15"/>
      <c r="AE224" s="8"/>
      <c r="AF224" s="10"/>
      <c r="AG224" s="10"/>
      <c r="AH224" s="9"/>
      <c r="AI224" s="9"/>
      <c r="AJ224" s="10"/>
      <c r="AK224" s="29"/>
      <c r="AL224" s="18"/>
      <c r="AM224" s="10"/>
      <c r="AN224" s="10"/>
      <c r="AO224" s="18"/>
      <c r="AP224" s="18"/>
      <c r="AQ224" s="23"/>
      <c r="AR224" s="18"/>
      <c r="AS224" s="10"/>
      <c r="AT224" s="19"/>
      <c r="AU224" s="18"/>
      <c r="AV224" s="10"/>
      <c r="AW224" s="10"/>
      <c r="AX224" s="10"/>
      <c r="AY224" s="10"/>
      <c r="AZ224" s="10"/>
      <c r="BA224" s="10"/>
      <c r="BB224" s="10"/>
      <c r="BC224" s="10"/>
      <c r="BD224" s="10"/>
      <c r="BE224" s="10"/>
      <c r="BF224" s="10"/>
      <c r="BG224" s="10"/>
      <c r="BH224" s="10"/>
      <c r="BI224" s="10"/>
      <c r="BJ224" s="10"/>
      <c r="BK224" s="10"/>
      <c r="BL224" s="10"/>
      <c r="BM224" s="10"/>
      <c r="BN224" s="10"/>
      <c r="BO224" s="10"/>
      <c r="BP224" s="10"/>
      <c r="BQ224" s="10"/>
      <c r="BR224" s="10"/>
      <c r="BS224" s="10"/>
      <c r="BT224" s="10"/>
      <c r="BU224" s="10"/>
      <c r="BV224" s="10"/>
      <c r="BW224" s="10"/>
      <c r="BX224" s="10"/>
      <c r="BY224" s="10"/>
      <c r="BZ224" s="10"/>
      <c r="CA224" s="10"/>
      <c r="CB224" s="10"/>
      <c r="CC224" s="10"/>
      <c r="CD224" s="10"/>
      <c r="CE224" s="10"/>
      <c r="CF224" s="10"/>
    </row>
    <row r="225" spans="1:84" x14ac:dyDescent="0.25">
      <c r="A225" s="10"/>
      <c r="B225" s="10"/>
      <c r="C225" s="12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4"/>
      <c r="X225" s="10"/>
      <c r="Y225" s="10"/>
      <c r="Z225" s="10"/>
      <c r="AA225" s="10"/>
      <c r="AB225" s="10"/>
      <c r="AC225" s="10"/>
      <c r="AD225" s="15"/>
      <c r="AE225" s="8"/>
      <c r="AF225" s="10"/>
      <c r="AG225" s="10"/>
      <c r="AH225" s="9"/>
      <c r="AI225" s="9"/>
      <c r="AJ225" s="10"/>
      <c r="AK225" s="29"/>
      <c r="AL225" s="18"/>
      <c r="AM225" s="10"/>
      <c r="AN225" s="10"/>
      <c r="AO225" s="18"/>
      <c r="AP225" s="18"/>
      <c r="AQ225" s="23"/>
      <c r="AR225" s="18"/>
      <c r="AS225" s="10"/>
      <c r="AT225" s="19"/>
      <c r="AU225" s="18"/>
      <c r="AV225" s="10"/>
      <c r="AW225" s="10"/>
      <c r="AX225" s="10"/>
      <c r="AY225" s="10"/>
      <c r="AZ225" s="10"/>
      <c r="BA225" s="10"/>
      <c r="BB225" s="10"/>
      <c r="BC225" s="10"/>
      <c r="BD225" s="10"/>
      <c r="BE225" s="10"/>
      <c r="BF225" s="10"/>
      <c r="BG225" s="10"/>
      <c r="BH225" s="10"/>
      <c r="BI225" s="10"/>
      <c r="BJ225" s="10"/>
      <c r="BK225" s="10"/>
      <c r="BL225" s="10"/>
      <c r="BM225" s="10"/>
      <c r="BN225" s="10"/>
      <c r="BO225" s="10"/>
      <c r="BP225" s="10"/>
      <c r="BQ225" s="10"/>
      <c r="BR225" s="10"/>
      <c r="BS225" s="10"/>
      <c r="BT225" s="10"/>
      <c r="BU225" s="10"/>
      <c r="BV225" s="10"/>
      <c r="BW225" s="10"/>
      <c r="BX225" s="10"/>
      <c r="BY225" s="10"/>
      <c r="BZ225" s="10"/>
      <c r="CA225" s="10"/>
      <c r="CB225" s="10"/>
      <c r="CC225" s="10"/>
      <c r="CD225" s="10"/>
      <c r="CE225" s="10"/>
      <c r="CF225" s="10"/>
    </row>
    <row r="226" spans="1:84" x14ac:dyDescent="0.25">
      <c r="A226" s="10"/>
      <c r="B226" s="10"/>
      <c r="C226" s="12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4"/>
      <c r="X226" s="10"/>
      <c r="Y226" s="10"/>
      <c r="Z226" s="10"/>
      <c r="AA226" s="10"/>
      <c r="AB226" s="10"/>
      <c r="AC226" s="10"/>
      <c r="AD226" s="15"/>
      <c r="AE226" s="8"/>
      <c r="AF226" s="10"/>
      <c r="AG226" s="10"/>
      <c r="AH226" s="9"/>
      <c r="AI226" s="9"/>
      <c r="AJ226" s="10"/>
      <c r="AK226" s="29"/>
      <c r="AL226" s="18"/>
      <c r="AM226" s="10"/>
      <c r="AN226" s="10"/>
      <c r="AO226" s="18"/>
      <c r="AP226" s="18"/>
      <c r="AQ226" s="23"/>
      <c r="AR226" s="18"/>
      <c r="AS226" s="10"/>
      <c r="AT226" s="19"/>
      <c r="AU226" s="18"/>
      <c r="AV226" s="10"/>
      <c r="AW226" s="10"/>
      <c r="AX226" s="10"/>
      <c r="AY226" s="10"/>
      <c r="AZ226" s="10"/>
      <c r="BA226" s="10"/>
      <c r="BB226" s="10"/>
      <c r="BC226" s="10"/>
      <c r="BD226" s="10"/>
      <c r="BE226" s="10"/>
      <c r="BF226" s="10"/>
      <c r="BG226" s="10"/>
      <c r="BH226" s="10"/>
      <c r="BI226" s="10"/>
      <c r="BJ226" s="10"/>
      <c r="BK226" s="10"/>
      <c r="BL226" s="10"/>
      <c r="BM226" s="10"/>
      <c r="BN226" s="10"/>
      <c r="BO226" s="10"/>
      <c r="BP226" s="10"/>
      <c r="BQ226" s="10"/>
      <c r="BR226" s="10"/>
      <c r="BS226" s="10"/>
      <c r="BT226" s="10"/>
      <c r="BU226" s="10"/>
      <c r="BV226" s="10"/>
      <c r="BW226" s="10"/>
      <c r="BX226" s="10"/>
      <c r="BY226" s="10"/>
      <c r="BZ226" s="10"/>
      <c r="CA226" s="10"/>
      <c r="CB226" s="10"/>
      <c r="CC226" s="10"/>
      <c r="CD226" s="10"/>
      <c r="CE226" s="10"/>
      <c r="CF226" s="10"/>
    </row>
    <row r="227" spans="1:84" x14ac:dyDescent="0.25">
      <c r="A227" s="10"/>
      <c r="B227" s="10"/>
      <c r="C227" s="12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4"/>
      <c r="X227" s="10"/>
      <c r="Y227" s="10"/>
      <c r="Z227" s="10"/>
      <c r="AA227" s="10"/>
      <c r="AB227" s="10"/>
      <c r="AC227" s="10"/>
      <c r="AD227" s="15"/>
      <c r="AE227" s="8"/>
      <c r="AF227" s="10"/>
      <c r="AG227" s="10"/>
      <c r="AH227" s="9"/>
      <c r="AI227" s="9"/>
      <c r="AJ227" s="10"/>
      <c r="AK227" s="29"/>
      <c r="AL227" s="18"/>
      <c r="AM227" s="10"/>
      <c r="AN227" s="10"/>
      <c r="AO227" s="18"/>
      <c r="AP227" s="18"/>
      <c r="AQ227" s="23"/>
      <c r="AR227" s="18"/>
      <c r="AS227" s="10"/>
      <c r="AT227" s="19"/>
      <c r="AU227" s="18"/>
      <c r="AV227" s="10"/>
      <c r="AW227" s="10"/>
      <c r="AX227" s="10"/>
      <c r="AY227" s="10"/>
      <c r="AZ227" s="10"/>
      <c r="BA227" s="10"/>
      <c r="BB227" s="10"/>
      <c r="BC227" s="10"/>
      <c r="BD227" s="10"/>
      <c r="BE227" s="10"/>
      <c r="BF227" s="10"/>
      <c r="BG227" s="10"/>
      <c r="BH227" s="10"/>
      <c r="BI227" s="10"/>
      <c r="BJ227" s="10"/>
      <c r="BK227" s="10"/>
      <c r="BL227" s="10"/>
      <c r="BM227" s="10"/>
      <c r="BN227" s="10"/>
      <c r="BO227" s="10"/>
      <c r="BP227" s="10"/>
      <c r="BQ227" s="10"/>
      <c r="BR227" s="10"/>
      <c r="BS227" s="10"/>
      <c r="BT227" s="10"/>
      <c r="BU227" s="10"/>
      <c r="BV227" s="10"/>
      <c r="BW227" s="10"/>
      <c r="BX227" s="10"/>
      <c r="BY227" s="10"/>
      <c r="BZ227" s="10"/>
      <c r="CA227" s="10"/>
      <c r="CB227" s="10"/>
      <c r="CC227" s="10"/>
      <c r="CD227" s="10"/>
      <c r="CE227" s="10"/>
      <c r="CF227" s="10"/>
    </row>
    <row r="228" spans="1:84" x14ac:dyDescent="0.25">
      <c r="A228" s="10"/>
      <c r="B228" s="10"/>
      <c r="C228" s="12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4"/>
      <c r="X228" s="10"/>
      <c r="Y228" s="10"/>
      <c r="Z228" s="10"/>
      <c r="AA228" s="10"/>
      <c r="AB228" s="10"/>
      <c r="AC228" s="10"/>
      <c r="AD228" s="15"/>
      <c r="AE228" s="8"/>
      <c r="AF228" s="10"/>
      <c r="AG228" s="10"/>
      <c r="AH228" s="9"/>
      <c r="AI228" s="9"/>
      <c r="AJ228" s="10"/>
      <c r="AK228" s="29"/>
      <c r="AL228" s="18"/>
      <c r="AM228" s="10"/>
      <c r="AN228" s="10"/>
      <c r="AO228" s="18"/>
      <c r="AP228" s="18"/>
      <c r="AQ228" s="23"/>
      <c r="AR228" s="18"/>
      <c r="AS228" s="10"/>
      <c r="AT228" s="19"/>
      <c r="AU228" s="18"/>
      <c r="AV228" s="10"/>
      <c r="AW228" s="10"/>
      <c r="AX228" s="10"/>
      <c r="AY228" s="10"/>
      <c r="AZ228" s="10"/>
      <c r="BA228" s="10"/>
      <c r="BB228" s="10"/>
      <c r="BC228" s="10"/>
      <c r="BD228" s="10"/>
      <c r="BE228" s="10"/>
      <c r="BF228" s="10"/>
      <c r="BG228" s="10"/>
      <c r="BH228" s="10"/>
      <c r="BI228" s="10"/>
      <c r="BJ228" s="10"/>
      <c r="BK228" s="10"/>
      <c r="BL228" s="10"/>
      <c r="BM228" s="10"/>
      <c r="BN228" s="10"/>
      <c r="BO228" s="10"/>
      <c r="BP228" s="10"/>
      <c r="BQ228" s="10"/>
      <c r="BR228" s="10"/>
      <c r="BS228" s="10"/>
      <c r="BT228" s="10"/>
      <c r="BU228" s="10"/>
      <c r="BV228" s="10"/>
      <c r="BW228" s="10"/>
      <c r="BX228" s="10"/>
      <c r="BY228" s="10"/>
      <c r="BZ228" s="10"/>
      <c r="CA228" s="10"/>
      <c r="CB228" s="10"/>
      <c r="CC228" s="10"/>
      <c r="CD228" s="10"/>
      <c r="CE228" s="10"/>
      <c r="CF228" s="10"/>
    </row>
    <row r="229" spans="1:84" x14ac:dyDescent="0.25">
      <c r="A229" s="10"/>
      <c r="B229" s="10"/>
      <c r="C229" s="12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4"/>
      <c r="X229" s="10"/>
      <c r="Y229" s="10"/>
      <c r="Z229" s="10"/>
      <c r="AA229" s="10"/>
      <c r="AB229" s="10"/>
      <c r="AC229" s="10"/>
      <c r="AD229" s="15"/>
      <c r="AE229" s="8"/>
      <c r="AF229" s="10"/>
      <c r="AG229" s="10"/>
      <c r="AH229" s="9"/>
      <c r="AI229" s="9"/>
      <c r="AJ229" s="10"/>
      <c r="AK229" s="29"/>
      <c r="AL229" s="18"/>
      <c r="AM229" s="10"/>
      <c r="AN229" s="10"/>
      <c r="AO229" s="18"/>
      <c r="AP229" s="18"/>
      <c r="AQ229" s="23"/>
      <c r="AR229" s="18"/>
      <c r="AS229" s="10"/>
      <c r="AT229" s="19"/>
      <c r="AU229" s="18"/>
      <c r="AV229" s="10"/>
      <c r="AW229" s="10"/>
      <c r="AX229" s="10"/>
      <c r="AY229" s="10"/>
      <c r="AZ229" s="10"/>
      <c r="BA229" s="10"/>
      <c r="BB229" s="10"/>
      <c r="BC229" s="10"/>
      <c r="BD229" s="10"/>
      <c r="BE229" s="10"/>
      <c r="BF229" s="10"/>
      <c r="BG229" s="10"/>
      <c r="BH229" s="10"/>
      <c r="BI229" s="10"/>
      <c r="BJ229" s="10"/>
      <c r="BK229" s="10"/>
      <c r="BL229" s="10"/>
      <c r="BM229" s="10"/>
      <c r="BN229" s="10"/>
      <c r="BO229" s="10"/>
      <c r="BP229" s="10"/>
      <c r="BQ229" s="10"/>
      <c r="BR229" s="10"/>
      <c r="BS229" s="10"/>
      <c r="BT229" s="10"/>
      <c r="BU229" s="10"/>
      <c r="BV229" s="10"/>
      <c r="BW229" s="10"/>
      <c r="BX229" s="10"/>
      <c r="BY229" s="10"/>
      <c r="BZ229" s="10"/>
      <c r="CA229" s="10"/>
      <c r="CB229" s="10"/>
      <c r="CC229" s="10"/>
      <c r="CD229" s="10"/>
      <c r="CE229" s="10"/>
      <c r="CF229" s="10"/>
    </row>
    <row r="230" spans="1:84" x14ac:dyDescent="0.25">
      <c r="A230" s="10"/>
      <c r="B230" s="10"/>
      <c r="C230" s="12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4"/>
      <c r="X230" s="10"/>
      <c r="Y230" s="10"/>
      <c r="Z230" s="10"/>
      <c r="AA230" s="10"/>
      <c r="AB230" s="10"/>
      <c r="AC230" s="10"/>
      <c r="AD230" s="15"/>
      <c r="AE230" s="8"/>
      <c r="AF230" s="10"/>
      <c r="AG230" s="10"/>
      <c r="AH230" s="9"/>
      <c r="AI230" s="9"/>
      <c r="AJ230" s="10"/>
      <c r="AK230" s="29"/>
      <c r="AL230" s="18"/>
      <c r="AM230" s="10"/>
      <c r="AN230" s="10"/>
      <c r="AO230" s="18"/>
      <c r="AP230" s="18"/>
      <c r="AQ230" s="23"/>
      <c r="AR230" s="18"/>
      <c r="AS230" s="10"/>
      <c r="AT230" s="19"/>
      <c r="AU230" s="18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10"/>
      <c r="BK230" s="10"/>
      <c r="BL230" s="10"/>
      <c r="BM230" s="10"/>
      <c r="BN230" s="10"/>
      <c r="BO230" s="10"/>
      <c r="BP230" s="10"/>
      <c r="BQ230" s="10"/>
      <c r="BR230" s="10"/>
      <c r="BS230" s="10"/>
      <c r="BT230" s="10"/>
      <c r="BU230" s="10"/>
      <c r="BV230" s="10"/>
      <c r="BW230" s="10"/>
      <c r="BX230" s="10"/>
      <c r="BY230" s="10"/>
      <c r="BZ230" s="10"/>
      <c r="CA230" s="10"/>
      <c r="CB230" s="10"/>
      <c r="CC230" s="10"/>
      <c r="CD230" s="10"/>
      <c r="CE230" s="10"/>
      <c r="CF230" s="10"/>
    </row>
    <row r="231" spans="1:84" x14ac:dyDescent="0.25">
      <c r="A231" s="10"/>
      <c r="B231" s="10"/>
      <c r="C231" s="12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4"/>
      <c r="X231" s="10"/>
      <c r="Y231" s="10"/>
      <c r="Z231" s="10"/>
      <c r="AA231" s="10"/>
      <c r="AB231" s="10"/>
      <c r="AC231" s="10"/>
      <c r="AD231" s="15"/>
      <c r="AE231" s="8"/>
      <c r="AF231" s="10"/>
      <c r="AG231" s="10"/>
      <c r="AH231" s="9"/>
      <c r="AI231" s="9"/>
      <c r="AJ231" s="10"/>
      <c r="AK231" s="29"/>
      <c r="AL231" s="18"/>
      <c r="AM231" s="10"/>
      <c r="AN231" s="10"/>
      <c r="AO231" s="18"/>
      <c r="AP231" s="18"/>
      <c r="AQ231" s="23"/>
      <c r="AR231" s="18"/>
      <c r="AS231" s="10"/>
      <c r="AT231" s="19"/>
      <c r="AU231" s="18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10"/>
      <c r="BK231" s="10"/>
      <c r="BL231" s="10"/>
      <c r="BM231" s="10"/>
      <c r="BN231" s="10"/>
      <c r="BO231" s="10"/>
      <c r="BP231" s="10"/>
      <c r="BQ231" s="10"/>
      <c r="BR231" s="10"/>
      <c r="BS231" s="10"/>
      <c r="BT231" s="10"/>
      <c r="BU231" s="10"/>
      <c r="BV231" s="10"/>
      <c r="BW231" s="10"/>
      <c r="BX231" s="10"/>
      <c r="BY231" s="10"/>
      <c r="BZ231" s="10"/>
      <c r="CA231" s="10"/>
      <c r="CB231" s="10"/>
      <c r="CC231" s="10"/>
      <c r="CD231" s="10"/>
      <c r="CE231" s="10"/>
      <c r="CF231" s="10"/>
    </row>
    <row r="232" spans="1:84" x14ac:dyDescent="0.25">
      <c r="A232" s="10"/>
      <c r="B232" s="10"/>
      <c r="C232" s="12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4"/>
      <c r="X232" s="10"/>
      <c r="Y232" s="10"/>
      <c r="Z232" s="10"/>
      <c r="AA232" s="10"/>
      <c r="AB232" s="10"/>
      <c r="AC232" s="10"/>
      <c r="AD232" s="15"/>
      <c r="AE232" s="8"/>
      <c r="AF232" s="10"/>
      <c r="AG232" s="10"/>
      <c r="AH232" s="9"/>
      <c r="AI232" s="9"/>
      <c r="AJ232" s="10"/>
      <c r="AK232" s="29"/>
      <c r="AL232" s="18"/>
      <c r="AM232" s="10"/>
      <c r="AN232" s="10"/>
      <c r="AO232" s="18"/>
      <c r="AP232" s="18"/>
      <c r="AQ232" s="23"/>
      <c r="AR232" s="18"/>
      <c r="AS232" s="10"/>
      <c r="AT232" s="19"/>
      <c r="AU232" s="18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10"/>
      <c r="BK232" s="10"/>
      <c r="BL232" s="10"/>
      <c r="BM232" s="10"/>
      <c r="BN232" s="10"/>
      <c r="BO232" s="10"/>
      <c r="BP232" s="10"/>
      <c r="BQ232" s="10"/>
      <c r="BR232" s="10"/>
      <c r="BS232" s="10"/>
      <c r="BT232" s="10"/>
      <c r="BU232" s="10"/>
      <c r="BV232" s="10"/>
      <c r="BW232" s="10"/>
      <c r="BX232" s="10"/>
      <c r="BY232" s="10"/>
      <c r="BZ232" s="10"/>
      <c r="CA232" s="10"/>
      <c r="CB232" s="10"/>
      <c r="CC232" s="10"/>
      <c r="CD232" s="10"/>
      <c r="CE232" s="10"/>
      <c r="CF232" s="10"/>
    </row>
    <row r="233" spans="1:84" x14ac:dyDescent="0.25">
      <c r="A233" s="10"/>
      <c r="B233" s="10"/>
      <c r="C233" s="12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4"/>
      <c r="X233" s="10"/>
      <c r="Y233" s="10"/>
      <c r="Z233" s="10"/>
      <c r="AA233" s="10"/>
      <c r="AB233" s="10"/>
      <c r="AC233" s="10"/>
      <c r="AD233" s="15"/>
      <c r="AE233" s="8"/>
      <c r="AF233" s="10"/>
      <c r="AG233" s="10"/>
      <c r="AH233" s="9"/>
      <c r="AI233" s="9"/>
      <c r="AJ233" s="10"/>
      <c r="AK233" s="29"/>
      <c r="AL233" s="18"/>
      <c r="AM233" s="10"/>
      <c r="AN233" s="10"/>
      <c r="AO233" s="18"/>
      <c r="AP233" s="18"/>
      <c r="AQ233" s="23"/>
      <c r="AR233" s="18"/>
      <c r="AS233" s="10"/>
      <c r="AT233" s="19"/>
      <c r="AU233" s="18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10"/>
      <c r="BK233" s="10"/>
      <c r="BL233" s="10"/>
      <c r="BM233" s="10"/>
      <c r="BN233" s="10"/>
      <c r="BO233" s="10"/>
      <c r="BP233" s="10"/>
      <c r="BQ233" s="10"/>
      <c r="BR233" s="10"/>
      <c r="BS233" s="10"/>
      <c r="BT233" s="10"/>
      <c r="BU233" s="10"/>
      <c r="BV233" s="10"/>
      <c r="BW233" s="10"/>
      <c r="BX233" s="10"/>
      <c r="BY233" s="10"/>
      <c r="BZ233" s="10"/>
      <c r="CA233" s="10"/>
      <c r="CB233" s="10"/>
      <c r="CC233" s="10"/>
      <c r="CD233" s="10"/>
      <c r="CE233" s="10"/>
      <c r="CF233" s="10"/>
    </row>
    <row r="234" spans="1:84" x14ac:dyDescent="0.25">
      <c r="A234" s="10"/>
      <c r="B234" s="10"/>
      <c r="C234" s="12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4"/>
      <c r="X234" s="10"/>
      <c r="Y234" s="10"/>
      <c r="Z234" s="10"/>
      <c r="AA234" s="10"/>
      <c r="AB234" s="10"/>
      <c r="AC234" s="10"/>
      <c r="AD234" s="15"/>
      <c r="AE234" s="8"/>
      <c r="AF234" s="10"/>
      <c r="AG234" s="10"/>
      <c r="AH234" s="9"/>
      <c r="AI234" s="9"/>
      <c r="AJ234" s="10"/>
      <c r="AK234" s="29"/>
      <c r="AL234" s="18"/>
      <c r="AM234" s="10"/>
      <c r="AN234" s="10"/>
      <c r="AO234" s="18"/>
      <c r="AP234" s="18"/>
      <c r="AQ234" s="23"/>
      <c r="AR234" s="18"/>
      <c r="AS234" s="10"/>
      <c r="AT234" s="19"/>
      <c r="AU234" s="18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10"/>
      <c r="BK234" s="10"/>
      <c r="BL234" s="10"/>
      <c r="BM234" s="10"/>
      <c r="BN234" s="10"/>
      <c r="BO234" s="10"/>
      <c r="BP234" s="10"/>
      <c r="BQ234" s="10"/>
      <c r="BR234" s="10"/>
      <c r="BS234" s="10"/>
      <c r="BT234" s="10"/>
      <c r="BU234" s="10"/>
      <c r="BV234" s="10"/>
      <c r="BW234" s="10"/>
      <c r="BX234" s="10"/>
      <c r="BY234" s="10"/>
      <c r="BZ234" s="10"/>
      <c r="CA234" s="10"/>
      <c r="CB234" s="10"/>
      <c r="CC234" s="10"/>
      <c r="CD234" s="10"/>
      <c r="CE234" s="10"/>
      <c r="CF234" s="10"/>
    </row>
    <row r="235" spans="1:84" x14ac:dyDescent="0.25">
      <c r="A235" s="10"/>
      <c r="B235" s="10"/>
      <c r="C235" s="12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4"/>
      <c r="X235" s="10"/>
      <c r="Y235" s="10"/>
      <c r="Z235" s="10"/>
      <c r="AA235" s="10"/>
      <c r="AB235" s="10"/>
      <c r="AC235" s="10"/>
      <c r="AD235" s="15"/>
      <c r="AE235" s="8"/>
      <c r="AF235" s="10"/>
      <c r="AG235" s="10"/>
      <c r="AH235" s="9"/>
      <c r="AI235" s="9"/>
      <c r="AJ235" s="10"/>
      <c r="AK235" s="29"/>
      <c r="AL235" s="18"/>
      <c r="AM235" s="10"/>
      <c r="AN235" s="10"/>
      <c r="AO235" s="18"/>
      <c r="AP235" s="18"/>
      <c r="AQ235" s="23"/>
      <c r="AR235" s="18"/>
      <c r="AS235" s="10"/>
      <c r="AT235" s="19"/>
      <c r="AU235" s="18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10"/>
      <c r="BK235" s="10"/>
      <c r="BL235" s="10"/>
      <c r="BM235" s="10"/>
      <c r="BN235" s="10"/>
      <c r="BO235" s="10"/>
      <c r="BP235" s="10"/>
      <c r="BQ235" s="10"/>
      <c r="BR235" s="10"/>
      <c r="BS235" s="10"/>
      <c r="BT235" s="10"/>
      <c r="BU235" s="10"/>
      <c r="BV235" s="10"/>
      <c r="BW235" s="10"/>
      <c r="BX235" s="10"/>
      <c r="BY235" s="10"/>
      <c r="BZ235" s="10"/>
      <c r="CA235" s="10"/>
      <c r="CB235" s="10"/>
      <c r="CC235" s="10"/>
      <c r="CD235" s="10"/>
      <c r="CE235" s="10"/>
      <c r="CF235" s="10"/>
    </row>
    <row r="236" spans="1:84" x14ac:dyDescent="0.25">
      <c r="A236" s="10"/>
      <c r="B236" s="10"/>
      <c r="C236" s="12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4"/>
      <c r="X236" s="10"/>
      <c r="Y236" s="10"/>
      <c r="Z236" s="10"/>
      <c r="AA236" s="10"/>
      <c r="AB236" s="10"/>
      <c r="AC236" s="10"/>
      <c r="AD236" s="15"/>
      <c r="AE236" s="8"/>
      <c r="AF236" s="10"/>
      <c r="AG236" s="10"/>
      <c r="AH236" s="9"/>
      <c r="AI236" s="9"/>
      <c r="AJ236" s="10"/>
      <c r="AK236" s="29"/>
      <c r="AL236" s="18"/>
      <c r="AM236" s="10"/>
      <c r="AN236" s="10"/>
      <c r="AO236" s="18"/>
      <c r="AP236" s="18"/>
      <c r="AQ236" s="23"/>
      <c r="AR236" s="18"/>
      <c r="AS236" s="10"/>
      <c r="AT236" s="19"/>
      <c r="AU236" s="18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10"/>
      <c r="BK236" s="10"/>
      <c r="BL236" s="10"/>
      <c r="BM236" s="10"/>
      <c r="BN236" s="10"/>
      <c r="BO236" s="10"/>
      <c r="BP236" s="10"/>
      <c r="BQ236" s="10"/>
      <c r="BR236" s="10"/>
      <c r="BS236" s="10"/>
      <c r="BT236" s="10"/>
      <c r="BU236" s="10"/>
      <c r="BV236" s="10"/>
      <c r="BW236" s="10"/>
      <c r="BX236" s="10"/>
      <c r="BY236" s="10"/>
      <c r="BZ236" s="10"/>
      <c r="CA236" s="10"/>
      <c r="CB236" s="10"/>
      <c r="CC236" s="10"/>
      <c r="CD236" s="10"/>
      <c r="CE236" s="10"/>
      <c r="CF236" s="10"/>
    </row>
    <row r="237" spans="1:84" x14ac:dyDescent="0.25">
      <c r="A237" s="10"/>
      <c r="B237" s="10"/>
      <c r="C237" s="12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4"/>
      <c r="X237" s="10"/>
      <c r="Y237" s="10"/>
      <c r="Z237" s="10"/>
      <c r="AA237" s="10"/>
      <c r="AB237" s="10"/>
      <c r="AC237" s="10"/>
      <c r="AD237" s="15"/>
      <c r="AE237" s="8"/>
      <c r="AF237" s="10"/>
      <c r="AG237" s="10"/>
      <c r="AH237" s="9"/>
      <c r="AI237" s="9"/>
      <c r="AJ237" s="10"/>
      <c r="AK237" s="29"/>
      <c r="AL237" s="18"/>
      <c r="AM237" s="10"/>
      <c r="AN237" s="10"/>
      <c r="AO237" s="18"/>
      <c r="AP237" s="18"/>
      <c r="AQ237" s="23"/>
      <c r="AR237" s="18"/>
      <c r="AS237" s="10"/>
      <c r="AT237" s="19"/>
      <c r="AU237" s="18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10"/>
      <c r="BK237" s="10"/>
      <c r="BL237" s="10"/>
      <c r="BM237" s="10"/>
      <c r="BN237" s="10"/>
      <c r="BO237" s="10"/>
      <c r="BP237" s="10"/>
      <c r="BQ237" s="10"/>
      <c r="BR237" s="10"/>
      <c r="BS237" s="10"/>
      <c r="BT237" s="10"/>
      <c r="BU237" s="10"/>
      <c r="BV237" s="10"/>
      <c r="BW237" s="10"/>
      <c r="BX237" s="10"/>
      <c r="BY237" s="10"/>
      <c r="BZ237" s="10"/>
      <c r="CA237" s="10"/>
      <c r="CB237" s="10"/>
      <c r="CC237" s="10"/>
      <c r="CD237" s="10"/>
      <c r="CE237" s="10"/>
      <c r="CF237" s="10"/>
    </row>
    <row r="238" spans="1:84" x14ac:dyDescent="0.25">
      <c r="A238" s="10"/>
      <c r="B238" s="10"/>
      <c r="C238" s="12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4"/>
      <c r="X238" s="10"/>
      <c r="Y238" s="10"/>
      <c r="Z238" s="10"/>
      <c r="AA238" s="10"/>
      <c r="AB238" s="10"/>
      <c r="AC238" s="10"/>
      <c r="AD238" s="15"/>
      <c r="AE238" s="8"/>
      <c r="AF238" s="10"/>
      <c r="AG238" s="10"/>
      <c r="AH238" s="9"/>
      <c r="AI238" s="9"/>
      <c r="AJ238" s="10"/>
      <c r="AK238" s="29"/>
      <c r="AL238" s="18"/>
      <c r="AM238" s="10"/>
      <c r="AN238" s="10"/>
      <c r="AO238" s="18"/>
      <c r="AP238" s="18"/>
      <c r="AQ238" s="23"/>
      <c r="AR238" s="18"/>
      <c r="AS238" s="10"/>
      <c r="AT238" s="19"/>
      <c r="AU238" s="18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10"/>
      <c r="BK238" s="10"/>
      <c r="BL238" s="10"/>
      <c r="BM238" s="10"/>
      <c r="BN238" s="10"/>
      <c r="BO238" s="10"/>
      <c r="BP238" s="10"/>
      <c r="BQ238" s="10"/>
      <c r="BR238" s="10"/>
      <c r="BS238" s="10"/>
      <c r="BT238" s="10"/>
      <c r="BU238" s="10"/>
      <c r="BV238" s="10"/>
      <c r="BW238" s="10"/>
      <c r="BX238" s="10"/>
      <c r="BY238" s="10"/>
      <c r="BZ238" s="10"/>
      <c r="CA238" s="10"/>
      <c r="CB238" s="10"/>
      <c r="CC238" s="10"/>
      <c r="CD238" s="10"/>
      <c r="CE238" s="10"/>
      <c r="CF238" s="10"/>
    </row>
    <row r="239" spans="1:84" x14ac:dyDescent="0.25">
      <c r="A239" s="10"/>
      <c r="B239" s="10"/>
      <c r="C239" s="12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4"/>
      <c r="X239" s="10"/>
      <c r="Y239" s="10"/>
      <c r="Z239" s="10"/>
      <c r="AA239" s="10"/>
      <c r="AB239" s="10"/>
      <c r="AC239" s="10"/>
      <c r="AD239" s="15"/>
      <c r="AE239" s="8"/>
      <c r="AF239" s="10"/>
      <c r="AG239" s="10"/>
      <c r="AH239" s="9"/>
      <c r="AI239" s="9"/>
      <c r="AJ239" s="10"/>
      <c r="AK239" s="29"/>
      <c r="AL239" s="18"/>
      <c r="AM239" s="10"/>
      <c r="AN239" s="10"/>
      <c r="AO239" s="18"/>
      <c r="AP239" s="18"/>
      <c r="AQ239" s="23"/>
      <c r="AR239" s="18"/>
      <c r="AS239" s="10"/>
      <c r="AT239" s="19"/>
      <c r="AU239" s="18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10"/>
      <c r="BK239" s="10"/>
      <c r="BL239" s="10"/>
      <c r="BM239" s="10"/>
      <c r="BN239" s="10"/>
      <c r="BO239" s="10"/>
      <c r="BP239" s="10"/>
      <c r="BQ239" s="10"/>
      <c r="BR239" s="10"/>
      <c r="BS239" s="10"/>
      <c r="BT239" s="10"/>
      <c r="BU239" s="10"/>
      <c r="BV239" s="10"/>
      <c r="BW239" s="10"/>
      <c r="BX239" s="10"/>
      <c r="BY239" s="10"/>
      <c r="BZ239" s="10"/>
      <c r="CA239" s="10"/>
      <c r="CB239" s="10"/>
      <c r="CC239" s="10"/>
      <c r="CD239" s="10"/>
      <c r="CE239" s="10"/>
      <c r="CF239" s="10"/>
    </row>
    <row r="240" spans="1:84" x14ac:dyDescent="0.25">
      <c r="A240" s="10"/>
      <c r="B240" s="10"/>
      <c r="C240" s="12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4"/>
      <c r="X240" s="10"/>
      <c r="Y240" s="10"/>
      <c r="Z240" s="10"/>
      <c r="AA240" s="10"/>
      <c r="AB240" s="10"/>
      <c r="AC240" s="10"/>
      <c r="AD240" s="15"/>
      <c r="AE240" s="8"/>
      <c r="AF240" s="10"/>
      <c r="AG240" s="10"/>
      <c r="AH240" s="9"/>
      <c r="AI240" s="9"/>
      <c r="AJ240" s="10"/>
      <c r="AK240" s="29"/>
      <c r="AL240" s="18"/>
      <c r="AM240" s="10"/>
      <c r="AN240" s="10"/>
      <c r="AO240" s="18"/>
      <c r="AP240" s="18"/>
      <c r="AQ240" s="23"/>
      <c r="AR240" s="18"/>
      <c r="AS240" s="10"/>
      <c r="AT240" s="19"/>
      <c r="AU240" s="18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10"/>
      <c r="BK240" s="10"/>
      <c r="BL240" s="10"/>
      <c r="BM240" s="10"/>
      <c r="BN240" s="10"/>
      <c r="BO240" s="10"/>
      <c r="BP240" s="10"/>
      <c r="BQ240" s="10"/>
      <c r="BR240" s="10"/>
      <c r="BS240" s="10"/>
      <c r="BT240" s="10"/>
      <c r="BU240" s="10"/>
      <c r="BV240" s="10"/>
      <c r="BW240" s="10"/>
      <c r="BX240" s="10"/>
      <c r="BY240" s="10"/>
      <c r="BZ240" s="10"/>
      <c r="CA240" s="10"/>
      <c r="CB240" s="10"/>
      <c r="CC240" s="10"/>
      <c r="CD240" s="10"/>
      <c r="CE240" s="10"/>
      <c r="CF240" s="10"/>
    </row>
    <row r="241" spans="1:84" x14ac:dyDescent="0.25">
      <c r="A241" s="10"/>
      <c r="B241" s="10"/>
      <c r="C241" s="12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4"/>
      <c r="X241" s="10"/>
      <c r="Y241" s="10"/>
      <c r="Z241" s="10"/>
      <c r="AA241" s="10"/>
      <c r="AB241" s="10"/>
      <c r="AC241" s="10"/>
      <c r="AD241" s="15"/>
      <c r="AE241" s="8"/>
      <c r="AF241" s="10"/>
      <c r="AG241" s="10"/>
      <c r="AH241" s="9"/>
      <c r="AI241" s="9"/>
      <c r="AJ241" s="10"/>
      <c r="AK241" s="29"/>
      <c r="AL241" s="18"/>
      <c r="AM241" s="10"/>
      <c r="AN241" s="10"/>
      <c r="AO241" s="18"/>
      <c r="AP241" s="18"/>
      <c r="AQ241" s="23"/>
      <c r="AR241" s="18"/>
      <c r="AS241" s="10"/>
      <c r="AT241" s="19"/>
      <c r="AU241" s="18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10"/>
      <c r="BK241" s="10"/>
      <c r="BL241" s="10"/>
      <c r="BM241" s="10"/>
      <c r="BN241" s="10"/>
      <c r="BO241" s="10"/>
      <c r="BP241" s="10"/>
      <c r="BQ241" s="10"/>
      <c r="BR241" s="10"/>
      <c r="BS241" s="10"/>
      <c r="BT241" s="10"/>
      <c r="BU241" s="10"/>
      <c r="BV241" s="10"/>
      <c r="BW241" s="10"/>
      <c r="BX241" s="10"/>
      <c r="BY241" s="10"/>
      <c r="BZ241" s="10"/>
      <c r="CA241" s="10"/>
      <c r="CB241" s="10"/>
      <c r="CC241" s="10"/>
      <c r="CD241" s="10"/>
      <c r="CE241" s="10"/>
      <c r="CF241" s="10"/>
    </row>
    <row r="242" spans="1:84" x14ac:dyDescent="0.25">
      <c r="A242" s="10"/>
      <c r="B242" s="10"/>
      <c r="C242" s="12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4"/>
      <c r="X242" s="10"/>
      <c r="Y242" s="10"/>
      <c r="Z242" s="10"/>
      <c r="AA242" s="10"/>
      <c r="AB242" s="10"/>
      <c r="AC242" s="10"/>
      <c r="AD242" s="15"/>
      <c r="AE242" s="8"/>
      <c r="AF242" s="10"/>
      <c r="AG242" s="10"/>
      <c r="AH242" s="9"/>
      <c r="AI242" s="9"/>
      <c r="AJ242" s="10"/>
      <c r="AK242" s="29"/>
      <c r="AL242" s="18"/>
      <c r="AM242" s="10"/>
      <c r="AN242" s="10"/>
      <c r="AO242" s="18"/>
      <c r="AP242" s="18"/>
      <c r="AQ242" s="23"/>
      <c r="AR242" s="18"/>
      <c r="AS242" s="10"/>
      <c r="AT242" s="19"/>
      <c r="AU242" s="18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10"/>
      <c r="BK242" s="10"/>
      <c r="BL242" s="10"/>
      <c r="BM242" s="10"/>
      <c r="BN242" s="10"/>
      <c r="BO242" s="10"/>
      <c r="BP242" s="10"/>
      <c r="BQ242" s="10"/>
      <c r="BR242" s="10"/>
      <c r="BS242" s="10"/>
      <c r="BT242" s="10"/>
      <c r="BU242" s="10"/>
      <c r="BV242" s="10"/>
      <c r="BW242" s="10"/>
      <c r="BX242" s="10"/>
      <c r="BY242" s="10"/>
      <c r="BZ242" s="10"/>
      <c r="CA242" s="10"/>
      <c r="CB242" s="10"/>
      <c r="CC242" s="10"/>
      <c r="CD242" s="10"/>
      <c r="CE242" s="10"/>
      <c r="CF242" s="10"/>
    </row>
    <row r="243" spans="1:84" x14ac:dyDescent="0.25">
      <c r="A243" s="10"/>
      <c r="B243" s="10"/>
      <c r="C243" s="12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4"/>
      <c r="X243" s="10"/>
      <c r="Y243" s="10"/>
      <c r="Z243" s="10"/>
      <c r="AA243" s="10"/>
      <c r="AB243" s="10"/>
      <c r="AC243" s="10"/>
      <c r="AD243" s="15"/>
      <c r="AE243" s="8"/>
      <c r="AF243" s="10"/>
      <c r="AG243" s="10"/>
      <c r="AH243" s="9"/>
      <c r="AI243" s="9"/>
      <c r="AJ243" s="10"/>
      <c r="AK243" s="29"/>
      <c r="AL243" s="18"/>
      <c r="AM243" s="10"/>
      <c r="AN243" s="10"/>
      <c r="AO243" s="18"/>
      <c r="AP243" s="18"/>
      <c r="AQ243" s="23"/>
      <c r="AR243" s="18"/>
      <c r="AS243" s="10"/>
      <c r="AT243" s="19"/>
      <c r="AU243" s="18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10"/>
      <c r="BK243" s="10"/>
      <c r="BL243" s="10"/>
      <c r="BM243" s="10"/>
      <c r="BN243" s="10"/>
      <c r="BO243" s="10"/>
      <c r="BP243" s="10"/>
      <c r="BQ243" s="10"/>
      <c r="BR243" s="10"/>
      <c r="BS243" s="10"/>
      <c r="BT243" s="10"/>
      <c r="BU243" s="10"/>
      <c r="BV243" s="10"/>
      <c r="BW243" s="10"/>
      <c r="BX243" s="10"/>
      <c r="BY243" s="10"/>
      <c r="BZ243" s="10"/>
      <c r="CA243" s="10"/>
      <c r="CB243" s="10"/>
      <c r="CC243" s="10"/>
      <c r="CD243" s="10"/>
      <c r="CE243" s="10"/>
      <c r="CF243" s="10"/>
    </row>
    <row r="244" spans="1:84" x14ac:dyDescent="0.25">
      <c r="A244" s="10"/>
      <c r="B244" s="10"/>
      <c r="C244" s="12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4"/>
      <c r="X244" s="10"/>
      <c r="Y244" s="10"/>
      <c r="Z244" s="10"/>
      <c r="AA244" s="10"/>
      <c r="AB244" s="10"/>
      <c r="AC244" s="10"/>
      <c r="AD244" s="15"/>
      <c r="AE244" s="8"/>
      <c r="AF244" s="10"/>
      <c r="AG244" s="10"/>
      <c r="AH244" s="9"/>
      <c r="AI244" s="9"/>
      <c r="AJ244" s="10"/>
      <c r="AK244" s="29"/>
      <c r="AL244" s="18"/>
      <c r="AM244" s="10"/>
      <c r="AN244" s="10"/>
      <c r="AO244" s="18"/>
      <c r="AP244" s="18"/>
      <c r="AQ244" s="23"/>
      <c r="AR244" s="18"/>
      <c r="AS244" s="10"/>
      <c r="AT244" s="19"/>
      <c r="AU244" s="18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10"/>
      <c r="BK244" s="10"/>
      <c r="BL244" s="10"/>
      <c r="BM244" s="10"/>
      <c r="BN244" s="10"/>
      <c r="BO244" s="10"/>
      <c r="BP244" s="10"/>
      <c r="BQ244" s="10"/>
      <c r="BR244" s="10"/>
      <c r="BS244" s="10"/>
      <c r="BT244" s="10"/>
      <c r="BU244" s="10"/>
      <c r="BV244" s="10"/>
      <c r="BW244" s="10"/>
      <c r="BX244" s="10"/>
      <c r="BY244" s="10"/>
      <c r="BZ244" s="10"/>
      <c r="CA244" s="10"/>
      <c r="CB244" s="10"/>
      <c r="CC244" s="10"/>
      <c r="CD244" s="10"/>
      <c r="CE244" s="10"/>
      <c r="CF244" s="10"/>
    </row>
    <row r="245" spans="1:84" x14ac:dyDescent="0.25">
      <c r="A245" s="10"/>
      <c r="B245" s="10"/>
      <c r="C245" s="12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4"/>
      <c r="X245" s="10"/>
      <c r="Y245" s="10"/>
      <c r="Z245" s="10"/>
      <c r="AA245" s="10"/>
      <c r="AB245" s="10"/>
      <c r="AC245" s="10"/>
      <c r="AD245" s="15"/>
      <c r="AE245" s="8"/>
      <c r="AF245" s="10"/>
      <c r="AG245" s="10"/>
      <c r="AH245" s="9"/>
      <c r="AI245" s="9"/>
      <c r="AJ245" s="10"/>
      <c r="AK245" s="29"/>
      <c r="AL245" s="18"/>
      <c r="AM245" s="10"/>
      <c r="AN245" s="10"/>
      <c r="AO245" s="18"/>
      <c r="AP245" s="18"/>
      <c r="AQ245" s="23"/>
      <c r="AR245" s="18"/>
      <c r="AS245" s="10"/>
      <c r="AT245" s="19"/>
      <c r="AU245" s="18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10"/>
      <c r="BK245" s="10"/>
      <c r="BL245" s="10"/>
      <c r="BM245" s="10"/>
      <c r="BN245" s="10"/>
      <c r="BO245" s="10"/>
      <c r="BP245" s="10"/>
      <c r="BQ245" s="10"/>
      <c r="BR245" s="10"/>
      <c r="BS245" s="10"/>
      <c r="BT245" s="10"/>
      <c r="BU245" s="10"/>
      <c r="BV245" s="10"/>
      <c r="BW245" s="10"/>
      <c r="BX245" s="10"/>
      <c r="BY245" s="10"/>
      <c r="BZ245" s="10"/>
      <c r="CA245" s="10"/>
      <c r="CB245" s="10"/>
      <c r="CC245" s="10"/>
      <c r="CD245" s="10"/>
      <c r="CE245" s="10"/>
      <c r="CF245" s="10"/>
    </row>
    <row r="246" spans="1:84" x14ac:dyDescent="0.25">
      <c r="A246" s="10"/>
      <c r="B246" s="10"/>
      <c r="C246" s="12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4"/>
      <c r="X246" s="10"/>
      <c r="Y246" s="10"/>
      <c r="Z246" s="10"/>
      <c r="AA246" s="10"/>
      <c r="AB246" s="10"/>
      <c r="AC246" s="10"/>
      <c r="AD246" s="15"/>
      <c r="AE246" s="8"/>
      <c r="AF246" s="10"/>
      <c r="AG246" s="10"/>
      <c r="AH246" s="9"/>
      <c r="AI246" s="9"/>
      <c r="AJ246" s="10"/>
      <c r="AK246" s="29"/>
      <c r="AL246" s="18"/>
      <c r="AM246" s="10"/>
      <c r="AN246" s="10"/>
      <c r="AO246" s="18"/>
      <c r="AP246" s="18"/>
      <c r="AQ246" s="23"/>
      <c r="AR246" s="18"/>
      <c r="AS246" s="10"/>
      <c r="AT246" s="19"/>
      <c r="AU246" s="18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10"/>
      <c r="BK246" s="10"/>
      <c r="BL246" s="10"/>
      <c r="BM246" s="10"/>
      <c r="BN246" s="10"/>
      <c r="BO246" s="10"/>
      <c r="BP246" s="10"/>
      <c r="BQ246" s="10"/>
      <c r="BR246" s="10"/>
      <c r="BS246" s="10"/>
      <c r="BT246" s="10"/>
      <c r="BU246" s="10"/>
      <c r="BV246" s="10"/>
      <c r="BW246" s="10"/>
      <c r="BX246" s="10"/>
      <c r="BY246" s="10"/>
      <c r="BZ246" s="10"/>
      <c r="CA246" s="10"/>
      <c r="CB246" s="10"/>
      <c r="CC246" s="10"/>
      <c r="CD246" s="10"/>
      <c r="CE246" s="10"/>
      <c r="CF246" s="10"/>
    </row>
    <row r="247" spans="1:84" x14ac:dyDescent="0.25">
      <c r="A247" s="10"/>
      <c r="B247" s="10"/>
      <c r="C247" s="12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4"/>
      <c r="X247" s="10"/>
      <c r="Y247" s="10"/>
      <c r="Z247" s="10"/>
      <c r="AA247" s="10"/>
      <c r="AB247" s="10"/>
      <c r="AC247" s="10"/>
      <c r="AD247" s="15"/>
      <c r="AE247" s="8"/>
      <c r="AF247" s="10"/>
      <c r="AG247" s="10"/>
      <c r="AH247" s="9"/>
      <c r="AI247" s="9"/>
      <c r="AJ247" s="10"/>
      <c r="AK247" s="29"/>
      <c r="AL247" s="18"/>
      <c r="AM247" s="10"/>
      <c r="AN247" s="10"/>
      <c r="AO247" s="18"/>
      <c r="AP247" s="18"/>
      <c r="AQ247" s="23"/>
      <c r="AR247" s="18"/>
      <c r="AS247" s="10"/>
      <c r="AT247" s="19"/>
      <c r="AU247" s="18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10"/>
      <c r="BK247" s="10"/>
      <c r="BL247" s="10"/>
      <c r="BM247" s="10"/>
      <c r="BN247" s="10"/>
      <c r="BO247" s="10"/>
      <c r="BP247" s="10"/>
      <c r="BQ247" s="10"/>
      <c r="BR247" s="10"/>
      <c r="BS247" s="10"/>
      <c r="BT247" s="10"/>
      <c r="BU247" s="10"/>
      <c r="BV247" s="10"/>
      <c r="BW247" s="10"/>
      <c r="BX247" s="10"/>
      <c r="BY247" s="10"/>
      <c r="BZ247" s="10"/>
      <c r="CA247" s="10"/>
      <c r="CB247" s="10"/>
      <c r="CC247" s="10"/>
      <c r="CD247" s="10"/>
      <c r="CE247" s="10"/>
      <c r="CF247" s="10"/>
    </row>
    <row r="248" spans="1:84" x14ac:dyDescent="0.25">
      <c r="A248" s="10"/>
      <c r="B248" s="10"/>
      <c r="C248" s="12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4"/>
      <c r="X248" s="10"/>
      <c r="Y248" s="10"/>
      <c r="Z248" s="10"/>
      <c r="AA248" s="10"/>
      <c r="AB248" s="10"/>
      <c r="AC248" s="10"/>
      <c r="AD248" s="15"/>
      <c r="AE248" s="8"/>
      <c r="AF248" s="10"/>
      <c r="AG248" s="10"/>
      <c r="AH248" s="9"/>
      <c r="AI248" s="9"/>
      <c r="AJ248" s="10"/>
      <c r="AK248" s="29"/>
      <c r="AL248" s="18"/>
      <c r="AM248" s="10"/>
      <c r="AN248" s="10"/>
      <c r="AO248" s="18"/>
      <c r="AP248" s="18"/>
      <c r="AQ248" s="23"/>
      <c r="AR248" s="18"/>
      <c r="AS248" s="10"/>
      <c r="AT248" s="19"/>
      <c r="AU248" s="18"/>
      <c r="AV248" s="10"/>
      <c r="AW248" s="10"/>
      <c r="AX248" s="10"/>
      <c r="AY248" s="10"/>
      <c r="AZ248" s="10"/>
      <c r="BA248" s="10"/>
      <c r="BB248" s="10"/>
      <c r="BC248" s="10"/>
      <c r="BD248" s="10"/>
      <c r="BE248" s="10"/>
      <c r="BF248" s="10"/>
      <c r="BG248" s="10"/>
      <c r="BH248" s="10"/>
      <c r="BI248" s="10"/>
      <c r="BJ248" s="10"/>
      <c r="BK248" s="10"/>
      <c r="BL248" s="10"/>
      <c r="BM248" s="10"/>
      <c r="BN248" s="10"/>
      <c r="BO248" s="10"/>
      <c r="BP248" s="10"/>
      <c r="BQ248" s="10"/>
      <c r="BR248" s="10"/>
      <c r="BS248" s="10"/>
      <c r="BT248" s="10"/>
      <c r="BU248" s="10"/>
      <c r="BV248" s="10"/>
      <c r="BW248" s="10"/>
      <c r="BX248" s="10"/>
      <c r="BY248" s="10"/>
      <c r="BZ248" s="10"/>
      <c r="CA248" s="10"/>
      <c r="CB248" s="10"/>
      <c r="CC248" s="10"/>
      <c r="CD248" s="10"/>
      <c r="CE248" s="10"/>
      <c r="CF248" s="10"/>
    </row>
    <row r="249" spans="1:84" x14ac:dyDescent="0.25">
      <c r="A249" s="10"/>
      <c r="B249" s="10"/>
      <c r="C249" s="12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4"/>
      <c r="X249" s="10"/>
      <c r="Y249" s="10"/>
      <c r="Z249" s="10"/>
      <c r="AA249" s="10"/>
      <c r="AB249" s="10"/>
      <c r="AC249" s="10"/>
      <c r="AD249" s="15"/>
      <c r="AE249" s="8"/>
      <c r="AF249" s="10"/>
      <c r="AG249" s="10"/>
      <c r="AH249" s="9"/>
      <c r="AI249" s="9"/>
      <c r="AJ249" s="10"/>
      <c r="AK249" s="29"/>
      <c r="AL249" s="18"/>
      <c r="AM249" s="10"/>
      <c r="AN249" s="10"/>
      <c r="AO249" s="18"/>
      <c r="AP249" s="18"/>
      <c r="AQ249" s="23"/>
      <c r="AR249" s="18"/>
      <c r="AS249" s="10"/>
      <c r="AT249" s="19"/>
      <c r="AU249" s="18"/>
      <c r="AV249" s="10"/>
      <c r="AW249" s="10"/>
      <c r="AX249" s="10"/>
      <c r="AY249" s="10"/>
      <c r="AZ249" s="10"/>
      <c r="BA249" s="10"/>
      <c r="BB249" s="10"/>
      <c r="BC249" s="10"/>
      <c r="BD249" s="10"/>
      <c r="BE249" s="10"/>
      <c r="BF249" s="10"/>
      <c r="BG249" s="10"/>
      <c r="BH249" s="10"/>
      <c r="BI249" s="10"/>
      <c r="BJ249" s="10"/>
      <c r="BK249" s="10"/>
      <c r="BL249" s="10"/>
      <c r="BM249" s="10"/>
      <c r="BN249" s="10"/>
      <c r="BO249" s="10"/>
      <c r="BP249" s="10"/>
      <c r="BQ249" s="10"/>
      <c r="BR249" s="10"/>
      <c r="BS249" s="10"/>
      <c r="BT249" s="10"/>
      <c r="BU249" s="10"/>
      <c r="BV249" s="10"/>
      <c r="BW249" s="10"/>
      <c r="BX249" s="10"/>
      <c r="BY249" s="10"/>
      <c r="BZ249" s="10"/>
      <c r="CA249" s="10"/>
      <c r="CB249" s="10"/>
      <c r="CC249" s="10"/>
      <c r="CD249" s="10"/>
      <c r="CE249" s="10"/>
      <c r="CF249" s="10"/>
    </row>
    <row r="250" spans="1:84" x14ac:dyDescent="0.25">
      <c r="A250" s="10"/>
      <c r="B250" s="10"/>
      <c r="C250" s="12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4"/>
      <c r="X250" s="10"/>
      <c r="Y250" s="10"/>
      <c r="Z250" s="10"/>
      <c r="AA250" s="10"/>
      <c r="AB250" s="10"/>
      <c r="AC250" s="10"/>
      <c r="AD250" s="15"/>
      <c r="AE250" s="8"/>
      <c r="AF250" s="10"/>
      <c r="AG250" s="10"/>
      <c r="AH250" s="9"/>
      <c r="AI250" s="9"/>
      <c r="AJ250" s="10"/>
      <c r="AK250" s="29"/>
      <c r="AL250" s="18"/>
      <c r="AM250" s="10"/>
      <c r="AN250" s="10"/>
      <c r="AO250" s="18"/>
      <c r="AP250" s="18"/>
      <c r="AQ250" s="23"/>
      <c r="AR250" s="18"/>
      <c r="AS250" s="10"/>
      <c r="AT250" s="19"/>
      <c r="AU250" s="18"/>
      <c r="AV250" s="10"/>
      <c r="AW250" s="10"/>
      <c r="AX250" s="10"/>
      <c r="AY250" s="10"/>
      <c r="AZ250" s="10"/>
      <c r="BA250" s="10"/>
      <c r="BB250" s="10"/>
      <c r="BC250" s="10"/>
      <c r="BD250" s="10"/>
      <c r="BE250" s="10"/>
      <c r="BF250" s="10"/>
      <c r="BG250" s="10"/>
      <c r="BH250" s="10"/>
      <c r="BI250" s="10"/>
      <c r="BJ250" s="10"/>
      <c r="BK250" s="10"/>
      <c r="BL250" s="10"/>
      <c r="BM250" s="10"/>
      <c r="BN250" s="10"/>
      <c r="BO250" s="10"/>
      <c r="BP250" s="10"/>
      <c r="BQ250" s="10"/>
      <c r="BR250" s="10"/>
      <c r="BS250" s="10"/>
      <c r="BT250" s="10"/>
      <c r="BU250" s="10"/>
      <c r="BV250" s="10"/>
      <c r="BW250" s="10"/>
      <c r="BX250" s="10"/>
      <c r="BY250" s="10"/>
      <c r="BZ250" s="10"/>
      <c r="CA250" s="10"/>
      <c r="CB250" s="10"/>
      <c r="CC250" s="10"/>
      <c r="CD250" s="10"/>
      <c r="CE250" s="10"/>
      <c r="CF250" s="10"/>
    </row>
    <row r="251" spans="1:84" x14ac:dyDescent="0.25">
      <c r="A251" s="10"/>
      <c r="B251" s="10"/>
      <c r="C251" s="12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4"/>
      <c r="X251" s="10"/>
      <c r="Y251" s="10"/>
      <c r="Z251" s="10"/>
      <c r="AA251" s="10"/>
      <c r="AB251" s="10"/>
      <c r="AC251" s="10"/>
      <c r="AD251" s="15"/>
      <c r="AE251" s="8"/>
      <c r="AF251" s="10"/>
      <c r="AG251" s="10"/>
      <c r="AH251" s="9"/>
      <c r="AI251" s="9"/>
      <c r="AJ251" s="10"/>
      <c r="AK251" s="29"/>
      <c r="AL251" s="18"/>
      <c r="AM251" s="10"/>
      <c r="AN251" s="10"/>
      <c r="AO251" s="18"/>
      <c r="AP251" s="18"/>
      <c r="AQ251" s="23"/>
      <c r="AR251" s="18"/>
      <c r="AS251" s="10"/>
      <c r="AT251" s="19"/>
      <c r="AU251" s="18"/>
      <c r="AV251" s="10"/>
      <c r="AW251" s="10"/>
      <c r="AX251" s="10"/>
      <c r="AY251" s="10"/>
      <c r="AZ251" s="10"/>
      <c r="BA251" s="10"/>
      <c r="BB251" s="10"/>
      <c r="BC251" s="10"/>
      <c r="BD251" s="10"/>
      <c r="BE251" s="10"/>
      <c r="BF251" s="10"/>
      <c r="BG251" s="10"/>
      <c r="BH251" s="10"/>
      <c r="BI251" s="10"/>
      <c r="BJ251" s="10"/>
      <c r="BK251" s="10"/>
      <c r="BL251" s="10"/>
      <c r="BM251" s="10"/>
      <c r="BN251" s="10"/>
      <c r="BO251" s="10"/>
      <c r="BP251" s="10"/>
      <c r="BQ251" s="10"/>
      <c r="BR251" s="10"/>
      <c r="BS251" s="10"/>
      <c r="BT251" s="10"/>
      <c r="BU251" s="10"/>
      <c r="BV251" s="10"/>
      <c r="BW251" s="10"/>
      <c r="BX251" s="10"/>
      <c r="BY251" s="10"/>
      <c r="BZ251" s="10"/>
      <c r="CA251" s="10"/>
      <c r="CB251" s="10"/>
      <c r="CC251" s="10"/>
      <c r="CD251" s="10"/>
      <c r="CE251" s="10"/>
      <c r="CF251" s="10"/>
    </row>
    <row r="252" spans="1:84" x14ac:dyDescent="0.25">
      <c r="A252" s="10"/>
      <c r="B252" s="10"/>
      <c r="C252" s="12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4"/>
      <c r="X252" s="10"/>
      <c r="Y252" s="10"/>
      <c r="Z252" s="10"/>
      <c r="AA252" s="10"/>
      <c r="AB252" s="10"/>
      <c r="AC252" s="10"/>
      <c r="AD252" s="15"/>
      <c r="AE252" s="8"/>
      <c r="AF252" s="10"/>
      <c r="AG252" s="10"/>
      <c r="AH252" s="9"/>
      <c r="AI252" s="9"/>
      <c r="AJ252" s="10"/>
      <c r="AK252" s="29"/>
      <c r="AL252" s="18"/>
      <c r="AM252" s="10"/>
      <c r="AN252" s="10"/>
      <c r="AO252" s="18"/>
      <c r="AP252" s="18"/>
      <c r="AQ252" s="23"/>
      <c r="AR252" s="18"/>
      <c r="AS252" s="10"/>
      <c r="AT252" s="19"/>
      <c r="AU252" s="18"/>
      <c r="AV252" s="10"/>
      <c r="AW252" s="10"/>
      <c r="AX252" s="10"/>
      <c r="AY252" s="10"/>
      <c r="AZ252" s="10"/>
      <c r="BA252" s="10"/>
      <c r="BB252" s="10"/>
      <c r="BC252" s="10"/>
      <c r="BD252" s="10"/>
      <c r="BE252" s="10"/>
      <c r="BF252" s="10"/>
      <c r="BG252" s="10"/>
      <c r="BH252" s="10"/>
      <c r="BI252" s="10"/>
      <c r="BJ252" s="10"/>
      <c r="BK252" s="10"/>
      <c r="BL252" s="10"/>
      <c r="BM252" s="10"/>
      <c r="BN252" s="10"/>
      <c r="BO252" s="10"/>
      <c r="BP252" s="10"/>
      <c r="BQ252" s="10"/>
      <c r="BR252" s="10"/>
      <c r="BS252" s="10"/>
      <c r="BT252" s="10"/>
      <c r="BU252" s="10"/>
      <c r="BV252" s="10"/>
      <c r="BW252" s="10"/>
      <c r="BX252" s="10"/>
      <c r="BY252" s="10"/>
      <c r="BZ252" s="10"/>
      <c r="CA252" s="10"/>
      <c r="CB252" s="10"/>
      <c r="CC252" s="10"/>
      <c r="CD252" s="10"/>
      <c r="CE252" s="10"/>
      <c r="CF252" s="10"/>
    </row>
    <row r="253" spans="1:84" x14ac:dyDescent="0.25">
      <c r="A253" s="10"/>
      <c r="B253" s="10"/>
      <c r="C253" s="12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4"/>
      <c r="X253" s="10"/>
      <c r="Y253" s="10"/>
      <c r="Z253" s="10"/>
      <c r="AA253" s="10"/>
      <c r="AB253" s="10"/>
      <c r="AC253" s="10"/>
      <c r="AD253" s="15"/>
      <c r="AE253" s="8"/>
      <c r="AF253" s="10"/>
      <c r="AG253" s="10"/>
      <c r="AH253" s="9"/>
      <c r="AI253" s="9"/>
      <c r="AJ253" s="10"/>
      <c r="AK253" s="29"/>
      <c r="AL253" s="18"/>
      <c r="AM253" s="10"/>
      <c r="AN253" s="10"/>
      <c r="AO253" s="18"/>
      <c r="AP253" s="18"/>
      <c r="AQ253" s="23"/>
      <c r="AR253" s="18"/>
      <c r="AS253" s="10"/>
      <c r="AT253" s="19"/>
      <c r="AU253" s="18"/>
      <c r="AV253" s="10"/>
      <c r="AW253" s="10"/>
      <c r="AX253" s="10"/>
      <c r="AY253" s="10"/>
      <c r="AZ253" s="10"/>
      <c r="BA253" s="10"/>
      <c r="BB253" s="10"/>
      <c r="BC253" s="10"/>
      <c r="BD253" s="10"/>
      <c r="BE253" s="10"/>
      <c r="BF253" s="10"/>
      <c r="BG253" s="10"/>
      <c r="BH253" s="10"/>
      <c r="BI253" s="10"/>
      <c r="BJ253" s="10"/>
      <c r="BK253" s="10"/>
      <c r="BL253" s="10"/>
      <c r="BM253" s="10"/>
      <c r="BN253" s="10"/>
      <c r="BO253" s="10"/>
      <c r="BP253" s="10"/>
      <c r="BQ253" s="10"/>
      <c r="BR253" s="10"/>
      <c r="BS253" s="10"/>
      <c r="BT253" s="10"/>
      <c r="BU253" s="10"/>
      <c r="BV253" s="10"/>
      <c r="BW253" s="10"/>
      <c r="BX253" s="10"/>
      <c r="BY253" s="10"/>
      <c r="BZ253" s="10"/>
      <c r="CA253" s="10"/>
      <c r="CB253" s="10"/>
      <c r="CC253" s="10"/>
      <c r="CD253" s="10"/>
      <c r="CE253" s="10"/>
      <c r="CF253" s="10"/>
    </row>
    <row r="254" spans="1:84" x14ac:dyDescent="0.25">
      <c r="A254" s="10"/>
      <c r="B254" s="10"/>
      <c r="C254" s="12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4"/>
      <c r="X254" s="10"/>
      <c r="Y254" s="10"/>
      <c r="Z254" s="10"/>
      <c r="AA254" s="10"/>
      <c r="AB254" s="10"/>
      <c r="AC254" s="10"/>
      <c r="AD254" s="15"/>
      <c r="AE254" s="8"/>
      <c r="AF254" s="10"/>
      <c r="AG254" s="10"/>
      <c r="AH254" s="9"/>
      <c r="AI254" s="9"/>
      <c r="AJ254" s="10"/>
      <c r="AK254" s="29"/>
      <c r="AL254" s="18"/>
      <c r="AM254" s="10"/>
      <c r="AN254" s="10"/>
      <c r="AO254" s="18"/>
      <c r="AP254" s="18"/>
      <c r="AQ254" s="23"/>
      <c r="AR254" s="18"/>
      <c r="AS254" s="10"/>
      <c r="AT254" s="19"/>
      <c r="AU254" s="18"/>
      <c r="AV254" s="10"/>
      <c r="AW254" s="10"/>
      <c r="AX254" s="10"/>
      <c r="AY254" s="10"/>
      <c r="AZ254" s="10"/>
      <c r="BA254" s="10"/>
      <c r="BB254" s="10"/>
      <c r="BC254" s="10"/>
      <c r="BD254" s="10"/>
      <c r="BE254" s="10"/>
      <c r="BF254" s="10"/>
      <c r="BG254" s="10"/>
      <c r="BH254" s="10"/>
      <c r="BI254" s="10"/>
      <c r="BJ254" s="10"/>
      <c r="BK254" s="10"/>
      <c r="BL254" s="10"/>
      <c r="BM254" s="10"/>
      <c r="BN254" s="10"/>
      <c r="BO254" s="10"/>
      <c r="BP254" s="10"/>
      <c r="BQ254" s="10"/>
      <c r="BR254" s="10"/>
      <c r="BS254" s="10"/>
      <c r="BT254" s="10"/>
      <c r="BU254" s="10"/>
      <c r="BV254" s="10"/>
      <c r="BW254" s="10"/>
      <c r="BX254" s="10"/>
      <c r="BY254" s="10"/>
      <c r="BZ254" s="10"/>
      <c r="CA254" s="10"/>
      <c r="CB254" s="10"/>
      <c r="CC254" s="10"/>
      <c r="CD254" s="10"/>
      <c r="CE254" s="10"/>
      <c r="CF254" s="10"/>
    </row>
    <row r="255" spans="1:84" x14ac:dyDescent="0.25">
      <c r="A255" s="10"/>
      <c r="B255" s="10"/>
      <c r="C255" s="12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4"/>
      <c r="X255" s="10"/>
      <c r="Y255" s="10"/>
      <c r="Z255" s="10"/>
      <c r="AA255" s="10"/>
      <c r="AB255" s="10"/>
      <c r="AC255" s="10"/>
      <c r="AD255" s="15"/>
      <c r="AE255" s="8"/>
      <c r="AF255" s="10"/>
      <c r="AG255" s="10"/>
      <c r="AH255" s="9"/>
      <c r="AI255" s="9"/>
      <c r="AJ255" s="10"/>
      <c r="AK255" s="29"/>
      <c r="AL255" s="18"/>
      <c r="AM255" s="10"/>
      <c r="AN255" s="10"/>
      <c r="AO255" s="18"/>
      <c r="AP255" s="18"/>
      <c r="AQ255" s="23"/>
      <c r="AR255" s="18"/>
      <c r="AS255" s="10"/>
      <c r="AT255" s="19"/>
      <c r="AU255" s="18"/>
      <c r="AV255" s="10"/>
      <c r="AW255" s="10"/>
      <c r="AX255" s="10"/>
      <c r="AY255" s="10"/>
      <c r="AZ255" s="10"/>
      <c r="BA255" s="10"/>
      <c r="BB255" s="10"/>
      <c r="BC255" s="10"/>
      <c r="BD255" s="10"/>
      <c r="BE255" s="10"/>
      <c r="BF255" s="10"/>
      <c r="BG255" s="10"/>
      <c r="BH255" s="10"/>
      <c r="BI255" s="10"/>
      <c r="BJ255" s="10"/>
      <c r="BK255" s="10"/>
      <c r="BL255" s="10"/>
      <c r="BM255" s="10"/>
      <c r="BN255" s="10"/>
      <c r="BO255" s="10"/>
      <c r="BP255" s="10"/>
      <c r="BQ255" s="10"/>
      <c r="BR255" s="10"/>
      <c r="BS255" s="10"/>
      <c r="BT255" s="10"/>
      <c r="BU255" s="10"/>
      <c r="BV255" s="10"/>
      <c r="BW255" s="10"/>
      <c r="BX255" s="10"/>
      <c r="BY255" s="10"/>
      <c r="BZ255" s="10"/>
      <c r="CA255" s="10"/>
      <c r="CB255" s="10"/>
      <c r="CC255" s="10"/>
      <c r="CD255" s="10"/>
      <c r="CE255" s="10"/>
      <c r="CF255" s="10"/>
    </row>
    <row r="256" spans="1:84" x14ac:dyDescent="0.25">
      <c r="A256" s="10"/>
      <c r="B256" s="10"/>
      <c r="C256" s="12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4"/>
      <c r="X256" s="10"/>
      <c r="Y256" s="10"/>
      <c r="Z256" s="10"/>
      <c r="AA256" s="10"/>
      <c r="AB256" s="10"/>
      <c r="AC256" s="10"/>
      <c r="AD256" s="15"/>
      <c r="AE256" s="8"/>
      <c r="AF256" s="10"/>
      <c r="AG256" s="10"/>
      <c r="AH256" s="9"/>
      <c r="AI256" s="9"/>
      <c r="AJ256" s="10"/>
      <c r="AK256" s="29"/>
      <c r="AL256" s="18"/>
      <c r="AM256" s="10"/>
      <c r="AN256" s="10"/>
      <c r="AO256" s="18"/>
      <c r="AP256" s="18"/>
      <c r="AQ256" s="23"/>
      <c r="AR256" s="18"/>
      <c r="AS256" s="10"/>
      <c r="AT256" s="19"/>
      <c r="AU256" s="18"/>
      <c r="AV256" s="10"/>
      <c r="AW256" s="10"/>
      <c r="AX256" s="10"/>
      <c r="AY256" s="10"/>
      <c r="AZ256" s="10"/>
      <c r="BA256" s="10"/>
      <c r="BB256" s="10"/>
      <c r="BC256" s="10"/>
      <c r="BD256" s="10"/>
      <c r="BE256" s="10"/>
      <c r="BF256" s="10"/>
      <c r="BG256" s="10"/>
      <c r="BH256" s="10"/>
      <c r="BI256" s="10"/>
      <c r="BJ256" s="10"/>
      <c r="BK256" s="10"/>
      <c r="BL256" s="10"/>
      <c r="BM256" s="10"/>
      <c r="BN256" s="10"/>
      <c r="BO256" s="10"/>
      <c r="BP256" s="10"/>
      <c r="BQ256" s="10"/>
      <c r="BR256" s="10"/>
      <c r="BS256" s="10"/>
      <c r="BT256" s="10"/>
      <c r="BU256" s="10"/>
      <c r="BV256" s="10"/>
      <c r="BW256" s="10"/>
      <c r="BX256" s="10"/>
      <c r="BY256" s="10"/>
      <c r="BZ256" s="10"/>
      <c r="CA256" s="10"/>
      <c r="CB256" s="10"/>
      <c r="CC256" s="10"/>
      <c r="CD256" s="10"/>
      <c r="CE256" s="10"/>
      <c r="CF256" s="10"/>
    </row>
    <row r="257" spans="1:84" x14ac:dyDescent="0.25">
      <c r="A257" s="10"/>
      <c r="B257" s="10"/>
      <c r="C257" s="12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4"/>
      <c r="X257" s="10"/>
      <c r="Y257" s="10"/>
      <c r="Z257" s="10"/>
      <c r="AA257" s="10"/>
      <c r="AB257" s="10"/>
      <c r="AC257" s="10"/>
      <c r="AD257" s="15"/>
      <c r="AE257" s="8"/>
      <c r="AF257" s="10"/>
      <c r="AG257" s="10"/>
      <c r="AH257" s="9"/>
      <c r="AI257" s="9"/>
      <c r="AJ257" s="10"/>
      <c r="AK257" s="29"/>
      <c r="AL257" s="18"/>
      <c r="AM257" s="10"/>
      <c r="AN257" s="10"/>
      <c r="AO257" s="18"/>
      <c r="AP257" s="18"/>
      <c r="AQ257" s="23"/>
      <c r="AR257" s="18"/>
      <c r="AS257" s="10"/>
      <c r="AT257" s="19"/>
      <c r="AU257" s="18"/>
      <c r="AV257" s="10"/>
      <c r="AW257" s="10"/>
      <c r="AX257" s="10"/>
      <c r="AY257" s="10"/>
      <c r="AZ257" s="10"/>
      <c r="BA257" s="10"/>
      <c r="BB257" s="10"/>
      <c r="BC257" s="10"/>
      <c r="BD257" s="10"/>
      <c r="BE257" s="10"/>
      <c r="BF257" s="10"/>
      <c r="BG257" s="10"/>
      <c r="BH257" s="10"/>
      <c r="BI257" s="10"/>
      <c r="BJ257" s="10"/>
      <c r="BK257" s="10"/>
      <c r="BL257" s="10"/>
      <c r="BM257" s="10"/>
      <c r="BN257" s="10"/>
      <c r="BO257" s="10"/>
      <c r="BP257" s="10"/>
      <c r="BQ257" s="10"/>
      <c r="BR257" s="10"/>
      <c r="BS257" s="10"/>
      <c r="BT257" s="10"/>
      <c r="BU257" s="10"/>
      <c r="BV257" s="10"/>
      <c r="BW257" s="10"/>
      <c r="BX257" s="10"/>
      <c r="BY257" s="10"/>
      <c r="BZ257" s="10"/>
      <c r="CA257" s="10"/>
      <c r="CB257" s="10"/>
      <c r="CC257" s="10"/>
      <c r="CD257" s="10"/>
      <c r="CE257" s="10"/>
      <c r="CF257" s="10"/>
    </row>
    <row r="258" spans="1:84" x14ac:dyDescent="0.25">
      <c r="A258" s="10"/>
      <c r="B258" s="10"/>
      <c r="C258" s="12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4"/>
      <c r="X258" s="10"/>
      <c r="Y258" s="10"/>
      <c r="Z258" s="10"/>
      <c r="AA258" s="10"/>
      <c r="AB258" s="10"/>
      <c r="AC258" s="10"/>
      <c r="AD258" s="15"/>
      <c r="AE258" s="8"/>
      <c r="AF258" s="10"/>
      <c r="AG258" s="10"/>
      <c r="AH258" s="9"/>
      <c r="AI258" s="9"/>
      <c r="AJ258" s="10"/>
      <c r="AK258" s="29"/>
      <c r="AL258" s="18"/>
      <c r="AM258" s="10"/>
      <c r="AN258" s="10"/>
      <c r="AO258" s="18"/>
      <c r="AP258" s="18"/>
      <c r="AQ258" s="23"/>
      <c r="AR258" s="18"/>
      <c r="AS258" s="10"/>
      <c r="AT258" s="19"/>
      <c r="AU258" s="18"/>
      <c r="AV258" s="10"/>
      <c r="AW258" s="10"/>
      <c r="AX258" s="10"/>
      <c r="AY258" s="10"/>
      <c r="AZ258" s="10"/>
      <c r="BA258" s="10"/>
      <c r="BB258" s="10"/>
      <c r="BC258" s="10"/>
      <c r="BD258" s="10"/>
      <c r="BE258" s="10"/>
      <c r="BF258" s="10"/>
      <c r="BG258" s="10"/>
      <c r="BH258" s="10"/>
      <c r="BI258" s="10"/>
      <c r="BJ258" s="10"/>
      <c r="BK258" s="10"/>
      <c r="BL258" s="10"/>
      <c r="BM258" s="10"/>
      <c r="BN258" s="10"/>
      <c r="BO258" s="10"/>
      <c r="BP258" s="10"/>
      <c r="BQ258" s="10"/>
      <c r="BR258" s="10"/>
      <c r="BS258" s="10"/>
      <c r="BT258" s="10"/>
      <c r="BU258" s="10"/>
      <c r="BV258" s="10"/>
      <c r="BW258" s="10"/>
      <c r="BX258" s="10"/>
      <c r="BY258" s="10"/>
      <c r="BZ258" s="10"/>
      <c r="CA258" s="10"/>
      <c r="CB258" s="10"/>
      <c r="CC258" s="10"/>
      <c r="CD258" s="10"/>
      <c r="CE258" s="10"/>
      <c r="CF258" s="10"/>
    </row>
    <row r="259" spans="1:84" x14ac:dyDescent="0.25">
      <c r="A259" s="10"/>
      <c r="B259" s="10"/>
      <c r="C259" s="12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4"/>
      <c r="X259" s="10"/>
      <c r="Y259" s="10"/>
      <c r="Z259" s="10"/>
      <c r="AA259" s="10"/>
      <c r="AB259" s="10"/>
      <c r="AC259" s="10"/>
      <c r="AD259" s="15"/>
      <c r="AE259" s="8"/>
      <c r="AF259" s="10"/>
      <c r="AG259" s="10"/>
      <c r="AH259" s="9"/>
      <c r="AI259" s="9"/>
      <c r="AJ259" s="10"/>
      <c r="AK259" s="29"/>
      <c r="AL259" s="18"/>
      <c r="AM259" s="10"/>
      <c r="AN259" s="10"/>
      <c r="AO259" s="18"/>
      <c r="AP259" s="18"/>
      <c r="AQ259" s="23"/>
      <c r="AR259" s="18"/>
      <c r="AS259" s="10"/>
      <c r="AT259" s="19"/>
      <c r="AU259" s="18"/>
      <c r="AV259" s="10"/>
      <c r="AW259" s="10"/>
      <c r="AX259" s="10"/>
      <c r="AY259" s="10"/>
      <c r="AZ259" s="10"/>
      <c r="BA259" s="10"/>
      <c r="BB259" s="10"/>
      <c r="BC259" s="10"/>
      <c r="BD259" s="10"/>
      <c r="BE259" s="10"/>
      <c r="BF259" s="10"/>
      <c r="BG259" s="10"/>
      <c r="BH259" s="10"/>
      <c r="BI259" s="10"/>
      <c r="BJ259" s="10"/>
      <c r="BK259" s="10"/>
      <c r="BL259" s="10"/>
      <c r="BM259" s="10"/>
      <c r="BN259" s="10"/>
      <c r="BO259" s="10"/>
      <c r="BP259" s="10"/>
      <c r="BQ259" s="10"/>
      <c r="BR259" s="10"/>
      <c r="BS259" s="10"/>
      <c r="BT259" s="10"/>
      <c r="BU259" s="10"/>
      <c r="BV259" s="10"/>
      <c r="BW259" s="10"/>
      <c r="BX259" s="10"/>
      <c r="BY259" s="10"/>
      <c r="BZ259" s="10"/>
      <c r="CA259" s="10"/>
      <c r="CB259" s="10"/>
      <c r="CC259" s="10"/>
      <c r="CD259" s="10"/>
      <c r="CE259" s="10"/>
      <c r="CF259" s="10"/>
    </row>
    <row r="260" spans="1:84" x14ac:dyDescent="0.25">
      <c r="A260" s="10"/>
      <c r="B260" s="10"/>
      <c r="C260" s="12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4"/>
      <c r="X260" s="10"/>
      <c r="Y260" s="10"/>
      <c r="Z260" s="10"/>
      <c r="AA260" s="10"/>
      <c r="AB260" s="10"/>
      <c r="AC260" s="10"/>
      <c r="AD260" s="15"/>
      <c r="AE260" s="8"/>
      <c r="AF260" s="10"/>
      <c r="AG260" s="10"/>
      <c r="AH260" s="9"/>
      <c r="AI260" s="9"/>
      <c r="AJ260" s="10"/>
      <c r="AK260" s="29"/>
      <c r="AL260" s="18"/>
      <c r="AM260" s="10"/>
      <c r="AN260" s="10"/>
      <c r="AO260" s="18"/>
      <c r="AP260" s="18"/>
      <c r="AQ260" s="23"/>
      <c r="AR260" s="18"/>
      <c r="AS260" s="10"/>
      <c r="AT260" s="19"/>
      <c r="AU260" s="18"/>
      <c r="AV260" s="10"/>
      <c r="AW260" s="10"/>
      <c r="AX260" s="10"/>
      <c r="AY260" s="10"/>
      <c r="AZ260" s="10"/>
      <c r="BA260" s="10"/>
      <c r="BB260" s="10"/>
      <c r="BC260" s="10"/>
      <c r="BD260" s="10"/>
      <c r="BE260" s="10"/>
      <c r="BF260" s="10"/>
      <c r="BG260" s="10"/>
      <c r="BH260" s="10"/>
      <c r="BI260" s="10"/>
      <c r="BJ260" s="10"/>
      <c r="BK260" s="10"/>
      <c r="BL260" s="10"/>
      <c r="BM260" s="10"/>
      <c r="BN260" s="10"/>
      <c r="BO260" s="10"/>
      <c r="BP260" s="10"/>
      <c r="BQ260" s="10"/>
      <c r="BR260" s="10"/>
      <c r="BS260" s="10"/>
      <c r="BT260" s="10"/>
      <c r="BU260" s="10"/>
      <c r="BV260" s="10"/>
      <c r="BW260" s="10"/>
      <c r="BX260" s="10"/>
      <c r="BY260" s="10"/>
      <c r="BZ260" s="10"/>
      <c r="CA260" s="10"/>
      <c r="CB260" s="10"/>
      <c r="CC260" s="10"/>
      <c r="CD260" s="10"/>
      <c r="CE260" s="10"/>
      <c r="CF260" s="10"/>
    </row>
    <row r="261" spans="1:84" x14ac:dyDescent="0.25">
      <c r="A261" s="10"/>
      <c r="B261" s="10"/>
      <c r="C261" s="12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4"/>
      <c r="X261" s="10"/>
      <c r="Y261" s="10"/>
      <c r="Z261" s="10"/>
      <c r="AA261" s="10"/>
      <c r="AB261" s="10"/>
      <c r="AC261" s="10"/>
      <c r="AD261" s="15"/>
      <c r="AE261" s="8"/>
      <c r="AF261" s="10"/>
      <c r="AG261" s="10"/>
      <c r="AH261" s="9"/>
      <c r="AI261" s="9"/>
      <c r="AJ261" s="10"/>
      <c r="AK261" s="29"/>
      <c r="AL261" s="18"/>
      <c r="AM261" s="10"/>
      <c r="AN261" s="10"/>
      <c r="AO261" s="18"/>
      <c r="AP261" s="18"/>
      <c r="AQ261" s="23"/>
      <c r="AR261" s="18"/>
      <c r="AS261" s="10"/>
      <c r="AT261" s="19"/>
      <c r="AU261" s="18"/>
      <c r="AV261" s="10"/>
      <c r="AW261" s="10"/>
      <c r="AX261" s="10"/>
      <c r="AY261" s="10"/>
      <c r="AZ261" s="10"/>
      <c r="BA261" s="10"/>
      <c r="BB261" s="10"/>
      <c r="BC261" s="10"/>
      <c r="BD261" s="10"/>
      <c r="BE261" s="10"/>
      <c r="BF261" s="10"/>
      <c r="BG261" s="10"/>
      <c r="BH261" s="10"/>
      <c r="BI261" s="10"/>
      <c r="BJ261" s="10"/>
      <c r="BK261" s="10"/>
      <c r="BL261" s="10"/>
      <c r="BM261" s="10"/>
      <c r="BN261" s="10"/>
      <c r="BO261" s="10"/>
      <c r="BP261" s="10"/>
      <c r="BQ261" s="10"/>
      <c r="BR261" s="10"/>
      <c r="BS261" s="10"/>
      <c r="BT261" s="10"/>
      <c r="BU261" s="10"/>
      <c r="BV261" s="10"/>
      <c r="BW261" s="10"/>
      <c r="BX261" s="10"/>
      <c r="BY261" s="10"/>
      <c r="BZ261" s="10"/>
      <c r="CA261" s="10"/>
      <c r="CB261" s="10"/>
      <c r="CC261" s="10"/>
      <c r="CD261" s="10"/>
      <c r="CE261" s="10"/>
      <c r="CF261" s="10"/>
    </row>
    <row r="262" spans="1:84" x14ac:dyDescent="0.25">
      <c r="A262" s="10"/>
      <c r="B262" s="10"/>
      <c r="C262" s="12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4"/>
      <c r="X262" s="10"/>
      <c r="Y262" s="10"/>
      <c r="Z262" s="10"/>
      <c r="AA262" s="10"/>
      <c r="AB262" s="10"/>
      <c r="AC262" s="10"/>
      <c r="AD262" s="15"/>
      <c r="AE262" s="8"/>
      <c r="AF262" s="10"/>
      <c r="AG262" s="10"/>
      <c r="AH262" s="9"/>
      <c r="AI262" s="9"/>
      <c r="AJ262" s="10"/>
      <c r="AK262" s="29"/>
      <c r="AL262" s="18"/>
      <c r="AM262" s="10"/>
      <c r="AN262" s="10"/>
      <c r="AO262" s="18"/>
      <c r="AP262" s="18"/>
      <c r="AQ262" s="23"/>
      <c r="AR262" s="18"/>
      <c r="AS262" s="10"/>
      <c r="AT262" s="19"/>
      <c r="AU262" s="18"/>
      <c r="AV262" s="10"/>
      <c r="AW262" s="10"/>
      <c r="AX262" s="10"/>
      <c r="AY262" s="10"/>
      <c r="AZ262" s="10"/>
      <c r="BA262" s="10"/>
      <c r="BB262" s="10"/>
      <c r="BC262" s="10"/>
      <c r="BD262" s="10"/>
      <c r="BE262" s="10"/>
      <c r="BF262" s="10"/>
      <c r="BG262" s="10"/>
      <c r="BH262" s="10"/>
      <c r="BI262" s="10"/>
      <c r="BJ262" s="10"/>
      <c r="BK262" s="10"/>
      <c r="BL262" s="10"/>
      <c r="BM262" s="10"/>
      <c r="BN262" s="10"/>
      <c r="BO262" s="10"/>
      <c r="BP262" s="10"/>
      <c r="BQ262" s="10"/>
      <c r="BR262" s="10"/>
      <c r="BS262" s="10"/>
      <c r="BT262" s="10"/>
      <c r="BU262" s="10"/>
      <c r="BV262" s="10"/>
      <c r="BW262" s="10"/>
      <c r="BX262" s="10"/>
      <c r="BY262" s="10"/>
      <c r="BZ262" s="10"/>
      <c r="CA262" s="10"/>
      <c r="CB262" s="10"/>
      <c r="CC262" s="10"/>
      <c r="CD262" s="10"/>
      <c r="CE262" s="10"/>
      <c r="CF262" s="10"/>
    </row>
    <row r="263" spans="1:84" x14ac:dyDescent="0.25">
      <c r="A263" s="10"/>
      <c r="B263" s="10"/>
      <c r="C263" s="12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4"/>
      <c r="X263" s="10"/>
      <c r="Y263" s="10"/>
      <c r="Z263" s="10"/>
      <c r="AA263" s="10"/>
      <c r="AB263" s="10"/>
      <c r="AC263" s="10"/>
      <c r="AD263" s="15"/>
      <c r="AE263" s="8"/>
      <c r="AF263" s="10"/>
      <c r="AG263" s="10"/>
      <c r="AH263" s="9"/>
      <c r="AI263" s="9"/>
      <c r="AJ263" s="10"/>
      <c r="AK263" s="29"/>
      <c r="AL263" s="18"/>
      <c r="AM263" s="10"/>
      <c r="AN263" s="10"/>
      <c r="AO263" s="18"/>
      <c r="AP263" s="18"/>
      <c r="AQ263" s="23"/>
      <c r="AR263" s="18"/>
      <c r="AS263" s="10"/>
      <c r="AT263" s="19"/>
      <c r="AU263" s="18"/>
      <c r="AV263" s="10"/>
      <c r="AW263" s="10"/>
      <c r="AX263" s="10"/>
      <c r="AY263" s="10"/>
      <c r="AZ263" s="10"/>
      <c r="BA263" s="10"/>
      <c r="BB263" s="10"/>
      <c r="BC263" s="10"/>
      <c r="BD263" s="10"/>
      <c r="BE263" s="10"/>
      <c r="BF263" s="10"/>
      <c r="BG263" s="10"/>
      <c r="BH263" s="10"/>
      <c r="BI263" s="10"/>
      <c r="BJ263" s="10"/>
      <c r="BK263" s="10"/>
      <c r="BL263" s="10"/>
      <c r="BM263" s="10"/>
      <c r="BN263" s="10"/>
      <c r="BO263" s="10"/>
      <c r="BP263" s="10"/>
      <c r="BQ263" s="10"/>
      <c r="BR263" s="10"/>
      <c r="BS263" s="10"/>
      <c r="BT263" s="10"/>
      <c r="BU263" s="10"/>
      <c r="BV263" s="10"/>
      <c r="BW263" s="10"/>
      <c r="BX263" s="10"/>
      <c r="BY263" s="10"/>
      <c r="BZ263" s="10"/>
      <c r="CA263" s="10"/>
      <c r="CB263" s="10"/>
      <c r="CC263" s="10"/>
      <c r="CD263" s="10"/>
      <c r="CE263" s="10"/>
      <c r="CF263" s="10"/>
    </row>
    <row r="264" spans="1:84" x14ac:dyDescent="0.25">
      <c r="A264" s="10"/>
      <c r="B264" s="10"/>
      <c r="C264" s="12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4"/>
      <c r="X264" s="10"/>
      <c r="Y264" s="10"/>
      <c r="Z264" s="10"/>
      <c r="AA264" s="10"/>
      <c r="AB264" s="10"/>
      <c r="AC264" s="10"/>
      <c r="AD264" s="15"/>
      <c r="AE264" s="8"/>
      <c r="AF264" s="10"/>
      <c r="AG264" s="10"/>
      <c r="AH264" s="9"/>
      <c r="AI264" s="9"/>
      <c r="AJ264" s="10"/>
      <c r="AK264" s="29"/>
      <c r="AL264" s="18"/>
      <c r="AM264" s="10"/>
      <c r="AN264" s="10"/>
      <c r="AO264" s="18"/>
      <c r="AP264" s="18"/>
      <c r="AQ264" s="23"/>
      <c r="AR264" s="18"/>
      <c r="AS264" s="10"/>
      <c r="AT264" s="19"/>
      <c r="AU264" s="18"/>
      <c r="AV264" s="10"/>
      <c r="AW264" s="10"/>
      <c r="AX264" s="10"/>
      <c r="AY264" s="10"/>
      <c r="AZ264" s="10"/>
      <c r="BA264" s="10"/>
      <c r="BB264" s="10"/>
      <c r="BC264" s="10"/>
      <c r="BD264" s="10"/>
      <c r="BE264" s="10"/>
      <c r="BF264" s="10"/>
      <c r="BG264" s="10"/>
      <c r="BH264" s="10"/>
      <c r="BI264" s="10"/>
      <c r="BJ264" s="10"/>
      <c r="BK264" s="10"/>
      <c r="BL264" s="10"/>
      <c r="BM264" s="10"/>
      <c r="BN264" s="10"/>
      <c r="BO264" s="10"/>
      <c r="BP264" s="10"/>
      <c r="BQ264" s="10"/>
      <c r="BR264" s="10"/>
      <c r="BS264" s="10"/>
      <c r="BT264" s="10"/>
      <c r="BU264" s="10"/>
      <c r="BV264" s="10"/>
      <c r="BW264" s="10"/>
      <c r="BX264" s="10"/>
      <c r="BY264" s="10"/>
      <c r="BZ264" s="10"/>
      <c r="CA264" s="10"/>
      <c r="CB264" s="10"/>
      <c r="CC264" s="10"/>
      <c r="CD264" s="10"/>
      <c r="CE264" s="10"/>
      <c r="CF264" s="10"/>
    </row>
    <row r="265" spans="1:84" x14ac:dyDescent="0.25">
      <c r="A265" s="10"/>
      <c r="B265" s="10"/>
      <c r="C265" s="12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4"/>
      <c r="X265" s="10"/>
      <c r="Y265" s="10"/>
      <c r="Z265" s="10"/>
      <c r="AA265" s="10"/>
      <c r="AB265" s="10"/>
      <c r="AC265" s="10"/>
      <c r="AD265" s="15"/>
      <c r="AE265" s="8"/>
      <c r="AF265" s="10"/>
      <c r="AG265" s="10"/>
      <c r="AH265" s="9"/>
      <c r="AI265" s="9"/>
      <c r="AJ265" s="10"/>
      <c r="AK265" s="29"/>
      <c r="AL265" s="18"/>
      <c r="AM265" s="10"/>
      <c r="AN265" s="10"/>
      <c r="AO265" s="18"/>
      <c r="AP265" s="18"/>
      <c r="AQ265" s="23"/>
      <c r="AR265" s="18"/>
      <c r="AS265" s="10"/>
      <c r="AT265" s="19"/>
      <c r="AU265" s="18"/>
      <c r="AV265" s="10"/>
      <c r="AW265" s="10"/>
      <c r="AX265" s="10"/>
      <c r="AY265" s="10"/>
      <c r="AZ265" s="10"/>
      <c r="BA265" s="10"/>
      <c r="BB265" s="10"/>
      <c r="BC265" s="10"/>
      <c r="BD265" s="10"/>
      <c r="BE265" s="10"/>
      <c r="BF265" s="10"/>
      <c r="BG265" s="10"/>
      <c r="BH265" s="10"/>
      <c r="BI265" s="10"/>
      <c r="BJ265" s="10"/>
      <c r="BK265" s="10"/>
      <c r="BL265" s="10"/>
      <c r="BM265" s="10"/>
      <c r="BN265" s="10"/>
      <c r="BO265" s="10"/>
      <c r="BP265" s="10"/>
      <c r="BQ265" s="10"/>
      <c r="BR265" s="10"/>
      <c r="BS265" s="10"/>
      <c r="BT265" s="10"/>
      <c r="BU265" s="10"/>
      <c r="BV265" s="10"/>
      <c r="BW265" s="10"/>
      <c r="BX265" s="10"/>
      <c r="BY265" s="10"/>
      <c r="BZ265" s="10"/>
      <c r="CA265" s="10"/>
      <c r="CB265" s="10"/>
      <c r="CC265" s="10"/>
      <c r="CD265" s="10"/>
      <c r="CE265" s="10"/>
      <c r="CF265" s="10"/>
    </row>
    <row r="266" spans="1:84" x14ac:dyDescent="0.25">
      <c r="A266" s="10"/>
      <c r="B266" s="10"/>
      <c r="C266" s="12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4"/>
      <c r="X266" s="10"/>
      <c r="Y266" s="10"/>
      <c r="Z266" s="10"/>
      <c r="AA266" s="10"/>
      <c r="AB266" s="10"/>
      <c r="AC266" s="10"/>
      <c r="AD266" s="15"/>
      <c r="AE266" s="8"/>
      <c r="AF266" s="10"/>
      <c r="AG266" s="10"/>
      <c r="AH266" s="9"/>
      <c r="AI266" s="9"/>
      <c r="AJ266" s="10"/>
      <c r="AK266" s="16"/>
      <c r="AL266" s="16"/>
      <c r="AM266" s="10"/>
      <c r="AN266" s="10"/>
      <c r="AO266" s="16"/>
      <c r="AP266" s="10"/>
      <c r="AQ266" s="12"/>
      <c r="AR266" s="12"/>
      <c r="AS266" s="10"/>
      <c r="AT266" s="10"/>
      <c r="AU266" s="10"/>
      <c r="AV266" s="10"/>
      <c r="AW266" s="10"/>
      <c r="AX266" s="10"/>
      <c r="AY266" s="10"/>
      <c r="AZ266" s="10"/>
      <c r="BA266" s="10"/>
      <c r="BB266" s="10"/>
      <c r="BC266" s="10"/>
      <c r="BD266" s="10"/>
      <c r="BE266" s="10"/>
      <c r="BF266" s="10"/>
      <c r="BG266" s="10"/>
      <c r="BH266" s="10"/>
      <c r="BI266" s="10"/>
      <c r="BJ266" s="10"/>
      <c r="BK266" s="10"/>
      <c r="BL266" s="10"/>
      <c r="BM266" s="10"/>
      <c r="BN266" s="10"/>
      <c r="BO266" s="10"/>
      <c r="BP266" s="10"/>
      <c r="BQ266" s="10"/>
      <c r="BR266" s="10"/>
      <c r="BS266" s="10"/>
      <c r="BT266" s="10"/>
      <c r="BU266" s="10"/>
      <c r="BV266" s="10"/>
      <c r="BW266" s="10"/>
      <c r="BX266" s="10"/>
      <c r="BY266" s="10"/>
      <c r="BZ266" s="10"/>
      <c r="CA266" s="10"/>
      <c r="CB266" s="10"/>
      <c r="CC266" s="10"/>
      <c r="CD266" s="10"/>
      <c r="CE266" s="10"/>
      <c r="CF266" s="10"/>
    </row>
    <row r="267" spans="1:84" x14ac:dyDescent="0.25">
      <c r="A267" s="10"/>
      <c r="B267" s="10"/>
      <c r="C267" s="12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4"/>
      <c r="X267" s="10"/>
      <c r="Y267" s="10"/>
      <c r="Z267" s="10"/>
      <c r="AA267" s="10"/>
      <c r="AB267" s="10"/>
      <c r="AC267" s="10"/>
      <c r="AD267" s="15"/>
      <c r="AE267" s="8"/>
      <c r="AF267" s="10"/>
      <c r="AG267" s="10"/>
      <c r="AH267" s="9"/>
      <c r="AI267" s="9"/>
      <c r="AJ267" s="10"/>
      <c r="AK267" s="16"/>
      <c r="AL267" s="16"/>
      <c r="AM267" s="10"/>
      <c r="AN267" s="10"/>
      <c r="AO267" s="16"/>
      <c r="AP267" s="10"/>
      <c r="AQ267" s="12"/>
      <c r="AR267" s="12"/>
      <c r="AS267" s="10"/>
      <c r="AT267" s="10"/>
      <c r="AU267" s="10"/>
      <c r="AV267" s="10"/>
      <c r="AW267" s="10"/>
      <c r="AX267" s="10"/>
      <c r="AY267" s="10"/>
      <c r="AZ267" s="10"/>
      <c r="BA267" s="10"/>
      <c r="BB267" s="10"/>
      <c r="BC267" s="10"/>
      <c r="BD267" s="10"/>
      <c r="BE267" s="10"/>
      <c r="BF267" s="10"/>
      <c r="BG267" s="10"/>
      <c r="BH267" s="10"/>
      <c r="BI267" s="10"/>
      <c r="BJ267" s="10"/>
      <c r="BK267" s="10"/>
      <c r="BL267" s="10"/>
      <c r="BM267" s="10"/>
      <c r="BN267" s="10"/>
      <c r="BO267" s="10"/>
      <c r="BP267" s="10"/>
      <c r="BQ267" s="10"/>
      <c r="BR267" s="10"/>
      <c r="BS267" s="10"/>
      <c r="BT267" s="10"/>
      <c r="BU267" s="10"/>
      <c r="BV267" s="10"/>
      <c r="BW267" s="10"/>
      <c r="BX267" s="10"/>
      <c r="BY267" s="10"/>
      <c r="BZ267" s="10"/>
      <c r="CA267" s="10"/>
      <c r="CB267" s="10"/>
      <c r="CC267" s="10"/>
      <c r="CD267" s="10"/>
      <c r="CE267" s="10"/>
      <c r="CF267" s="10"/>
    </row>
    <row r="268" spans="1:84" x14ac:dyDescent="0.25">
      <c r="A268" s="10"/>
      <c r="B268" s="10"/>
      <c r="C268" s="12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4"/>
      <c r="X268" s="10"/>
      <c r="Y268" s="10"/>
      <c r="Z268" s="10"/>
      <c r="AA268" s="10"/>
      <c r="AB268" s="10"/>
      <c r="AC268" s="10"/>
      <c r="AD268" s="15"/>
      <c r="AE268" s="8"/>
      <c r="AF268" s="10"/>
      <c r="AG268" s="10"/>
      <c r="AH268" s="9"/>
      <c r="AI268" s="9"/>
      <c r="AJ268" s="10"/>
      <c r="AK268" s="16"/>
      <c r="AL268" s="16"/>
      <c r="AM268" s="10"/>
      <c r="AN268" s="10"/>
      <c r="AO268" s="16"/>
      <c r="AP268" s="10"/>
      <c r="AQ268" s="12"/>
      <c r="AR268" s="12"/>
      <c r="AS268" s="10"/>
      <c r="AT268" s="10"/>
      <c r="AU268" s="10"/>
      <c r="AV268" s="10"/>
      <c r="AW268" s="10"/>
      <c r="AX268" s="10"/>
      <c r="AY268" s="10"/>
      <c r="AZ268" s="10"/>
      <c r="BA268" s="10"/>
      <c r="BB268" s="10"/>
      <c r="BC268" s="10"/>
      <c r="BD268" s="10"/>
      <c r="BE268" s="10"/>
      <c r="BF268" s="10"/>
      <c r="BG268" s="10"/>
      <c r="BH268" s="10"/>
      <c r="BI268" s="10"/>
      <c r="BJ268" s="10"/>
      <c r="BK268" s="10"/>
      <c r="BL268" s="10"/>
      <c r="BM268" s="10"/>
      <c r="BN268" s="10"/>
      <c r="BO268" s="10"/>
      <c r="BP268" s="10"/>
      <c r="BQ268" s="10"/>
      <c r="BR268" s="10"/>
      <c r="BS268" s="10"/>
      <c r="BT268" s="10"/>
      <c r="BU268" s="10"/>
      <c r="BV268" s="10"/>
      <c r="BW268" s="10"/>
      <c r="BX268" s="10"/>
      <c r="BY268" s="10"/>
      <c r="BZ268" s="10"/>
      <c r="CA268" s="10"/>
      <c r="CB268" s="10"/>
      <c r="CC268" s="10"/>
      <c r="CD268" s="10"/>
      <c r="CE268" s="10"/>
      <c r="CF268" s="10"/>
    </row>
    <row r="269" spans="1:84" x14ac:dyDescent="0.25">
      <c r="A269" s="10"/>
      <c r="B269" s="10"/>
      <c r="C269" s="12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4"/>
      <c r="X269" s="10"/>
      <c r="Y269" s="10"/>
      <c r="Z269" s="10"/>
      <c r="AA269" s="10"/>
      <c r="AB269" s="10"/>
      <c r="AC269" s="10"/>
      <c r="AD269" s="15"/>
      <c r="AE269" s="8"/>
      <c r="AF269" s="10"/>
      <c r="AG269" s="10"/>
      <c r="AH269" s="9"/>
      <c r="AI269" s="9"/>
      <c r="AJ269" s="10"/>
      <c r="AK269" s="16"/>
      <c r="AL269" s="16"/>
      <c r="AM269" s="10"/>
      <c r="AN269" s="10"/>
      <c r="AO269" s="16"/>
      <c r="AP269" s="10"/>
      <c r="AQ269" s="12"/>
      <c r="AR269" s="12"/>
      <c r="AS269" s="10"/>
      <c r="AT269" s="10"/>
      <c r="AU269" s="10"/>
      <c r="AV269" s="10"/>
      <c r="AW269" s="10"/>
      <c r="AX269" s="10"/>
      <c r="AY269" s="10"/>
      <c r="AZ269" s="10"/>
      <c r="BA269" s="10"/>
      <c r="BB269" s="10"/>
      <c r="BC269" s="10"/>
      <c r="BD269" s="10"/>
      <c r="BE269" s="10"/>
      <c r="BF269" s="10"/>
      <c r="BG269" s="10"/>
      <c r="BH269" s="10"/>
      <c r="BI269" s="10"/>
      <c r="BJ269" s="10"/>
      <c r="BK269" s="10"/>
      <c r="BL269" s="10"/>
      <c r="BM269" s="10"/>
      <c r="BN269" s="10"/>
      <c r="BO269" s="10"/>
      <c r="BP269" s="10"/>
      <c r="BQ269" s="10"/>
      <c r="BR269" s="10"/>
      <c r="BS269" s="10"/>
      <c r="BT269" s="10"/>
      <c r="BU269" s="10"/>
      <c r="BV269" s="10"/>
      <c r="BW269" s="10"/>
      <c r="BX269" s="10"/>
      <c r="BY269" s="10"/>
      <c r="BZ269" s="10"/>
      <c r="CA269" s="10"/>
      <c r="CB269" s="10"/>
      <c r="CC269" s="10"/>
      <c r="CD269" s="10"/>
      <c r="CE269" s="10"/>
      <c r="CF269" s="10"/>
    </row>
    <row r="270" spans="1:84" x14ac:dyDescent="0.25">
      <c r="A270" s="10"/>
      <c r="B270" s="10"/>
      <c r="C270" s="12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4"/>
      <c r="X270" s="10"/>
      <c r="Y270" s="10"/>
      <c r="Z270" s="10"/>
      <c r="AA270" s="10"/>
      <c r="AB270" s="10"/>
      <c r="AC270" s="10"/>
      <c r="AD270" s="15"/>
      <c r="AE270" s="8"/>
      <c r="AF270" s="10"/>
      <c r="AG270" s="10"/>
      <c r="AH270" s="9"/>
      <c r="AI270" s="9"/>
      <c r="AJ270" s="10"/>
      <c r="AK270" s="16"/>
      <c r="AL270" s="16"/>
      <c r="AM270" s="10"/>
      <c r="AN270" s="10"/>
      <c r="AO270" s="16"/>
      <c r="AP270" s="10"/>
      <c r="AQ270" s="12"/>
      <c r="AR270" s="12"/>
      <c r="AS270" s="10"/>
      <c r="AT270" s="10"/>
      <c r="AU270" s="10"/>
      <c r="AV270" s="10"/>
      <c r="AW270" s="10"/>
      <c r="AX270" s="10"/>
      <c r="AY270" s="10"/>
      <c r="AZ270" s="10"/>
      <c r="BA270" s="10"/>
      <c r="BB270" s="10"/>
      <c r="BC270" s="10"/>
      <c r="BD270" s="10"/>
      <c r="BE270" s="10"/>
      <c r="BF270" s="10"/>
      <c r="BG270" s="10"/>
      <c r="BH270" s="10"/>
      <c r="BI270" s="10"/>
      <c r="BJ270" s="10"/>
      <c r="BK270" s="10"/>
      <c r="BL270" s="10"/>
      <c r="BM270" s="10"/>
      <c r="BN270" s="10"/>
      <c r="BO270" s="10"/>
      <c r="BP270" s="10"/>
      <c r="BQ270" s="10"/>
      <c r="BR270" s="10"/>
      <c r="BS270" s="10"/>
      <c r="BT270" s="10"/>
      <c r="BU270" s="10"/>
      <c r="BV270" s="10"/>
      <c r="BW270" s="10"/>
      <c r="BX270" s="10"/>
      <c r="BY270" s="10"/>
      <c r="BZ270" s="10"/>
      <c r="CA270" s="10"/>
      <c r="CB270" s="10"/>
      <c r="CC270" s="10"/>
      <c r="CD270" s="10"/>
      <c r="CE270" s="10"/>
      <c r="CF270" s="10"/>
    </row>
    <row r="271" spans="1:84" x14ac:dyDescent="0.25">
      <c r="A271" s="10"/>
      <c r="B271" s="10"/>
      <c r="C271" s="12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4"/>
      <c r="X271" s="10"/>
      <c r="Y271" s="10"/>
      <c r="Z271" s="10"/>
      <c r="AA271" s="10"/>
      <c r="AB271" s="10"/>
      <c r="AC271" s="10"/>
      <c r="AD271" s="15"/>
      <c r="AE271" s="8"/>
      <c r="AF271" s="10"/>
      <c r="AG271" s="10"/>
      <c r="AH271" s="9"/>
      <c r="AI271" s="9"/>
      <c r="AJ271" s="10"/>
      <c r="AK271" s="16"/>
      <c r="AL271" s="16"/>
      <c r="AM271" s="10"/>
      <c r="AN271" s="10"/>
      <c r="AO271" s="16"/>
      <c r="AP271" s="10"/>
      <c r="AQ271" s="12"/>
      <c r="AR271" s="12"/>
      <c r="AS271" s="10"/>
      <c r="AT271" s="10"/>
      <c r="AU271" s="10"/>
      <c r="AV271" s="10"/>
      <c r="AW271" s="10"/>
      <c r="AX271" s="10"/>
      <c r="AY271" s="10"/>
      <c r="AZ271" s="10"/>
      <c r="BA271" s="10"/>
      <c r="BB271" s="10"/>
      <c r="BC271" s="10"/>
      <c r="BD271" s="10"/>
      <c r="BE271" s="10"/>
      <c r="BF271" s="10"/>
      <c r="BG271" s="10"/>
      <c r="BH271" s="10"/>
      <c r="BI271" s="10"/>
      <c r="BJ271" s="10"/>
      <c r="BK271" s="10"/>
      <c r="BL271" s="10"/>
      <c r="BM271" s="10"/>
      <c r="BN271" s="10"/>
      <c r="BO271" s="10"/>
      <c r="BP271" s="10"/>
      <c r="BQ271" s="10"/>
      <c r="BR271" s="10"/>
      <c r="BS271" s="10"/>
      <c r="BT271" s="10"/>
      <c r="BU271" s="10"/>
      <c r="BV271" s="10"/>
      <c r="BW271" s="10"/>
      <c r="BX271" s="10"/>
      <c r="BY271" s="10"/>
      <c r="BZ271" s="10"/>
      <c r="CA271" s="10"/>
      <c r="CB271" s="10"/>
      <c r="CC271" s="10"/>
      <c r="CD271" s="10"/>
      <c r="CE271" s="10"/>
      <c r="CF271" s="10"/>
    </row>
    <row r="272" spans="1:84" x14ac:dyDescent="0.25">
      <c r="A272" s="10"/>
      <c r="B272" s="10"/>
      <c r="C272" s="12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4"/>
      <c r="X272" s="10"/>
      <c r="Y272" s="10"/>
      <c r="Z272" s="10"/>
      <c r="AA272" s="10"/>
      <c r="AB272" s="10"/>
      <c r="AC272" s="10"/>
      <c r="AD272" s="15"/>
      <c r="AE272" s="8"/>
      <c r="AF272" s="10"/>
      <c r="AG272" s="10"/>
      <c r="AH272" s="9"/>
      <c r="AI272" s="9"/>
      <c r="AJ272" s="10"/>
      <c r="AK272" s="16"/>
      <c r="AL272" s="16"/>
      <c r="AM272" s="10"/>
      <c r="AN272" s="10"/>
      <c r="AO272" s="16"/>
      <c r="AP272" s="10"/>
      <c r="AQ272" s="12"/>
      <c r="AR272" s="12"/>
      <c r="AS272" s="10"/>
      <c r="AT272" s="10"/>
      <c r="AU272" s="10"/>
      <c r="AV272" s="10"/>
      <c r="AW272" s="10"/>
      <c r="AX272" s="10"/>
      <c r="AY272" s="10"/>
      <c r="AZ272" s="10"/>
      <c r="BA272" s="10"/>
      <c r="BB272" s="10"/>
      <c r="BC272" s="10"/>
      <c r="BD272" s="10"/>
      <c r="BE272" s="10"/>
      <c r="BF272" s="10"/>
      <c r="BG272" s="10"/>
      <c r="BH272" s="10"/>
      <c r="BI272" s="10"/>
      <c r="BJ272" s="10"/>
      <c r="BK272" s="10"/>
      <c r="BL272" s="10"/>
      <c r="BM272" s="10"/>
      <c r="BN272" s="10"/>
      <c r="BO272" s="10"/>
      <c r="BP272" s="10"/>
      <c r="BQ272" s="10"/>
      <c r="BR272" s="10"/>
      <c r="BS272" s="10"/>
      <c r="BT272" s="10"/>
      <c r="BU272" s="10"/>
      <c r="BV272" s="10"/>
      <c r="BW272" s="10"/>
      <c r="BX272" s="10"/>
      <c r="BY272" s="10"/>
      <c r="BZ272" s="10"/>
      <c r="CA272" s="10"/>
      <c r="CB272" s="10"/>
      <c r="CC272" s="10"/>
      <c r="CD272" s="10"/>
      <c r="CE272" s="10"/>
      <c r="CF272" s="10"/>
    </row>
    <row r="273" spans="1:84" x14ac:dyDescent="0.25">
      <c r="A273" s="10"/>
      <c r="B273" s="10"/>
      <c r="C273" s="12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4"/>
      <c r="X273" s="10"/>
      <c r="Y273" s="10"/>
      <c r="Z273" s="10"/>
      <c r="AA273" s="10"/>
      <c r="AB273" s="10"/>
      <c r="AC273" s="10"/>
      <c r="AD273" s="15"/>
      <c r="AE273" s="8"/>
      <c r="AF273" s="10"/>
      <c r="AG273" s="10"/>
      <c r="AH273" s="9"/>
      <c r="AI273" s="9"/>
      <c r="AJ273" s="10"/>
      <c r="AK273" s="16"/>
      <c r="AL273" s="16"/>
      <c r="AM273" s="10"/>
      <c r="AN273" s="10"/>
      <c r="AO273" s="16"/>
      <c r="AP273" s="10"/>
      <c r="AQ273" s="12"/>
      <c r="AR273" s="12"/>
      <c r="AS273" s="10"/>
      <c r="AT273" s="10"/>
      <c r="AU273" s="10"/>
      <c r="AV273" s="10"/>
      <c r="AW273" s="10"/>
      <c r="AX273" s="10"/>
      <c r="AY273" s="10"/>
      <c r="AZ273" s="10"/>
      <c r="BA273" s="10"/>
      <c r="BB273" s="10"/>
      <c r="BC273" s="10"/>
      <c r="BD273" s="10"/>
      <c r="BE273" s="10"/>
      <c r="BF273" s="10"/>
      <c r="BG273" s="10"/>
      <c r="BH273" s="10"/>
      <c r="BI273" s="10"/>
      <c r="BJ273" s="10"/>
      <c r="BK273" s="10"/>
      <c r="BL273" s="10"/>
      <c r="BM273" s="10"/>
      <c r="BN273" s="10"/>
      <c r="BO273" s="10"/>
      <c r="BP273" s="10"/>
      <c r="BQ273" s="10"/>
      <c r="BR273" s="10"/>
      <c r="BS273" s="10"/>
      <c r="BT273" s="10"/>
      <c r="BU273" s="10"/>
      <c r="BV273" s="10"/>
      <c r="BW273" s="10"/>
      <c r="BX273" s="10"/>
      <c r="BY273" s="10"/>
      <c r="BZ273" s="10"/>
      <c r="CA273" s="10"/>
      <c r="CB273" s="10"/>
      <c r="CC273" s="10"/>
      <c r="CD273" s="10"/>
      <c r="CE273" s="10"/>
      <c r="CF273" s="10"/>
    </row>
    <row r="274" spans="1:84" x14ac:dyDescent="0.25">
      <c r="A274" s="10"/>
      <c r="B274" s="10"/>
      <c r="C274" s="12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4"/>
      <c r="X274" s="10"/>
      <c r="Y274" s="10"/>
      <c r="Z274" s="10"/>
      <c r="AA274" s="10"/>
      <c r="AB274" s="10"/>
      <c r="AC274" s="10"/>
      <c r="AD274" s="15"/>
      <c r="AE274" s="8"/>
      <c r="AF274" s="10"/>
      <c r="AG274" s="10"/>
      <c r="AH274" s="9"/>
      <c r="AI274" s="9"/>
      <c r="AJ274" s="10"/>
      <c r="AK274" s="16"/>
      <c r="AL274" s="16"/>
      <c r="AM274" s="10"/>
      <c r="AN274" s="10"/>
      <c r="AO274" s="16"/>
      <c r="AP274" s="10"/>
      <c r="AQ274" s="12"/>
      <c r="AR274" s="12"/>
      <c r="AS274" s="10"/>
      <c r="AT274" s="10"/>
      <c r="AU274" s="10"/>
      <c r="AV274" s="10"/>
      <c r="AW274" s="10"/>
      <c r="AX274" s="10"/>
      <c r="AY274" s="10"/>
      <c r="AZ274" s="10"/>
      <c r="BA274" s="10"/>
      <c r="BB274" s="10"/>
      <c r="BC274" s="10"/>
      <c r="BD274" s="10"/>
      <c r="BE274" s="10"/>
      <c r="BF274" s="10"/>
      <c r="BG274" s="10"/>
      <c r="BH274" s="10"/>
      <c r="BI274" s="10"/>
      <c r="BJ274" s="10"/>
      <c r="BK274" s="10"/>
      <c r="BL274" s="10"/>
      <c r="BM274" s="10"/>
      <c r="BN274" s="10"/>
      <c r="BO274" s="10"/>
      <c r="BP274" s="10"/>
      <c r="BQ274" s="10"/>
      <c r="BR274" s="10"/>
      <c r="BS274" s="10"/>
      <c r="BT274" s="10"/>
      <c r="BU274" s="10"/>
      <c r="BV274" s="10"/>
      <c r="BW274" s="10"/>
      <c r="BX274" s="10"/>
      <c r="BY274" s="10"/>
      <c r="BZ274" s="10"/>
      <c r="CA274" s="10"/>
      <c r="CB274" s="10"/>
      <c r="CC274" s="10"/>
      <c r="CD274" s="10"/>
      <c r="CE274" s="10"/>
      <c r="CF274" s="10"/>
    </row>
    <row r="275" spans="1:84" x14ac:dyDescent="0.25">
      <c r="A275" s="10"/>
      <c r="B275" s="10"/>
      <c r="C275" s="12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4"/>
      <c r="X275" s="10"/>
      <c r="Y275" s="10"/>
      <c r="Z275" s="10"/>
      <c r="AA275" s="10"/>
      <c r="AB275" s="10"/>
      <c r="AC275" s="10"/>
      <c r="AD275" s="15"/>
      <c r="AE275" s="8"/>
      <c r="AF275" s="10"/>
      <c r="AG275" s="10"/>
      <c r="AH275" s="9"/>
      <c r="AI275" s="9"/>
      <c r="AJ275" s="10"/>
      <c r="AK275" s="16"/>
      <c r="AL275" s="16"/>
      <c r="AM275" s="10"/>
      <c r="AN275" s="10"/>
      <c r="AO275" s="16"/>
      <c r="AP275" s="10"/>
      <c r="AQ275" s="12"/>
      <c r="AR275" s="12"/>
      <c r="AS275" s="10"/>
      <c r="AT275" s="10"/>
      <c r="AU275" s="10"/>
      <c r="AV275" s="10"/>
      <c r="AW275" s="10"/>
      <c r="AX275" s="10"/>
      <c r="AY275" s="10"/>
      <c r="AZ275" s="10"/>
      <c r="BA275" s="10"/>
      <c r="BB275" s="10"/>
      <c r="BC275" s="10"/>
      <c r="BD275" s="10"/>
      <c r="BE275" s="10"/>
      <c r="BF275" s="10"/>
      <c r="BG275" s="10"/>
      <c r="BH275" s="10"/>
      <c r="BI275" s="10"/>
      <c r="BJ275" s="10"/>
      <c r="BK275" s="10"/>
      <c r="BL275" s="10"/>
      <c r="BM275" s="10"/>
      <c r="BN275" s="10"/>
      <c r="BO275" s="10"/>
      <c r="BP275" s="10"/>
      <c r="BQ275" s="10"/>
      <c r="BR275" s="10"/>
      <c r="BS275" s="10"/>
      <c r="BT275" s="10"/>
      <c r="BU275" s="10"/>
      <c r="BV275" s="10"/>
      <c r="BW275" s="10"/>
      <c r="BX275" s="10"/>
      <c r="BY275" s="10"/>
      <c r="BZ275" s="10"/>
      <c r="CA275" s="10"/>
      <c r="CB275" s="10"/>
      <c r="CC275" s="10"/>
      <c r="CD275" s="10"/>
      <c r="CE275" s="10"/>
      <c r="CF275" s="10"/>
    </row>
    <row r="276" spans="1:84" x14ac:dyDescent="0.25">
      <c r="A276" s="10"/>
      <c r="B276" s="10"/>
      <c r="C276" s="12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4"/>
      <c r="X276" s="10"/>
      <c r="Y276" s="10"/>
      <c r="Z276" s="10"/>
      <c r="AA276" s="10"/>
      <c r="AB276" s="10"/>
      <c r="AC276" s="10"/>
      <c r="AD276" s="15"/>
      <c r="AE276" s="8"/>
      <c r="AF276" s="10"/>
      <c r="AG276" s="10"/>
      <c r="AH276" s="9"/>
      <c r="AI276" s="9"/>
      <c r="AJ276" s="10"/>
      <c r="AK276" s="16"/>
      <c r="AL276" s="16"/>
      <c r="AM276" s="10"/>
      <c r="AN276" s="10"/>
      <c r="AO276" s="16"/>
      <c r="AP276" s="10"/>
      <c r="AQ276" s="12"/>
      <c r="AR276" s="12"/>
      <c r="AS276" s="10"/>
      <c r="AT276" s="10"/>
      <c r="AU276" s="10"/>
      <c r="AV276" s="10"/>
      <c r="AW276" s="10"/>
      <c r="AX276" s="10"/>
      <c r="AY276" s="10"/>
      <c r="AZ276" s="10"/>
      <c r="BA276" s="10"/>
      <c r="BB276" s="10"/>
      <c r="BC276" s="10"/>
      <c r="BD276" s="10"/>
      <c r="BE276" s="10"/>
      <c r="BF276" s="10"/>
      <c r="BG276" s="10"/>
      <c r="BH276" s="10"/>
      <c r="BI276" s="10"/>
      <c r="BJ276" s="10"/>
      <c r="BK276" s="10"/>
      <c r="BL276" s="10"/>
      <c r="BM276" s="10"/>
      <c r="BN276" s="10"/>
      <c r="BO276" s="10"/>
      <c r="BP276" s="10"/>
      <c r="BQ276" s="10"/>
      <c r="BR276" s="10"/>
      <c r="BS276" s="10"/>
      <c r="BT276" s="10"/>
      <c r="BU276" s="10"/>
      <c r="BV276" s="10"/>
      <c r="BW276" s="10"/>
      <c r="BX276" s="10"/>
      <c r="BY276" s="10"/>
      <c r="BZ276" s="10"/>
      <c r="CA276" s="10"/>
      <c r="CB276" s="10"/>
      <c r="CC276" s="10"/>
      <c r="CD276" s="10"/>
      <c r="CE276" s="10"/>
      <c r="CF276" s="10"/>
    </row>
    <row r="277" spans="1:84" x14ac:dyDescent="0.25">
      <c r="A277" s="10"/>
      <c r="B277" s="10"/>
      <c r="C277" s="12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4"/>
      <c r="X277" s="10"/>
      <c r="Y277" s="10"/>
      <c r="Z277" s="10"/>
      <c r="AA277" s="10"/>
      <c r="AB277" s="10"/>
      <c r="AC277" s="10"/>
      <c r="AD277" s="15"/>
      <c r="AE277" s="8"/>
      <c r="AF277" s="10"/>
      <c r="AG277" s="10"/>
      <c r="AH277" s="9"/>
      <c r="AI277" s="9"/>
      <c r="AJ277" s="10"/>
      <c r="AK277" s="16"/>
      <c r="AL277" s="16"/>
      <c r="AM277" s="10"/>
      <c r="AN277" s="10"/>
      <c r="AO277" s="16"/>
      <c r="AP277" s="10"/>
      <c r="AQ277" s="12"/>
      <c r="AR277" s="12"/>
      <c r="AS277" s="10"/>
      <c r="AT277" s="10"/>
      <c r="AU277" s="10"/>
      <c r="AV277" s="10"/>
      <c r="AW277" s="10"/>
      <c r="AX277" s="10"/>
      <c r="AY277" s="10"/>
      <c r="AZ277" s="10"/>
      <c r="BA277" s="10"/>
      <c r="BB277" s="10"/>
      <c r="BC277" s="10"/>
      <c r="BD277" s="10"/>
      <c r="BE277" s="10"/>
      <c r="BF277" s="10"/>
      <c r="BG277" s="10"/>
      <c r="BH277" s="10"/>
      <c r="BI277" s="10"/>
      <c r="BJ277" s="10"/>
      <c r="BK277" s="10"/>
      <c r="BL277" s="10"/>
      <c r="BM277" s="10"/>
      <c r="BN277" s="10"/>
      <c r="BO277" s="10"/>
      <c r="BP277" s="10"/>
      <c r="BQ277" s="10"/>
      <c r="BR277" s="10"/>
      <c r="BS277" s="10"/>
      <c r="BT277" s="10"/>
      <c r="BU277" s="10"/>
      <c r="BV277" s="10"/>
      <c r="BW277" s="10"/>
      <c r="BX277" s="10"/>
      <c r="BY277" s="10"/>
      <c r="BZ277" s="10"/>
      <c r="CA277" s="10"/>
      <c r="CB277" s="10"/>
      <c r="CC277" s="10"/>
      <c r="CD277" s="10"/>
      <c r="CE277" s="10"/>
      <c r="CF277" s="10"/>
    </row>
    <row r="278" spans="1:84" x14ac:dyDescent="0.25">
      <c r="A278" s="10"/>
      <c r="B278" s="10"/>
      <c r="C278" s="12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4"/>
      <c r="X278" s="10"/>
      <c r="Y278" s="10"/>
      <c r="Z278" s="10"/>
      <c r="AA278" s="10"/>
      <c r="AB278" s="10"/>
      <c r="AC278" s="10"/>
      <c r="AD278" s="15"/>
      <c r="AE278" s="8"/>
      <c r="AF278" s="10"/>
      <c r="AG278" s="10"/>
      <c r="AH278" s="9"/>
      <c r="AI278" s="9"/>
      <c r="AJ278" s="10"/>
      <c r="AK278" s="16"/>
      <c r="AL278" s="16"/>
      <c r="AM278" s="10"/>
      <c r="AN278" s="10"/>
      <c r="AO278" s="16"/>
      <c r="AP278" s="10"/>
      <c r="AQ278" s="12"/>
      <c r="AR278" s="12"/>
      <c r="AS278" s="10"/>
      <c r="AT278" s="10"/>
      <c r="AU278" s="10"/>
      <c r="AV278" s="10"/>
      <c r="AW278" s="10"/>
      <c r="AX278" s="10"/>
      <c r="AY278" s="10"/>
      <c r="AZ278" s="10"/>
      <c r="BA278" s="10"/>
      <c r="BB278" s="10"/>
      <c r="BC278" s="10"/>
      <c r="BD278" s="10"/>
      <c r="BE278" s="10"/>
      <c r="BF278" s="10"/>
      <c r="BG278" s="10"/>
      <c r="BH278" s="10"/>
      <c r="BI278" s="10"/>
      <c r="BJ278" s="10"/>
      <c r="BK278" s="10"/>
      <c r="BL278" s="10"/>
      <c r="BM278" s="10"/>
      <c r="BN278" s="10"/>
      <c r="BO278" s="10"/>
      <c r="BP278" s="10"/>
      <c r="BQ278" s="10"/>
      <c r="BR278" s="10"/>
      <c r="BS278" s="10"/>
      <c r="BT278" s="10"/>
      <c r="BU278" s="10"/>
      <c r="BV278" s="10"/>
      <c r="BW278" s="10"/>
      <c r="BX278" s="10"/>
      <c r="BY278" s="10"/>
      <c r="BZ278" s="10"/>
      <c r="CA278" s="10"/>
      <c r="CB278" s="10"/>
      <c r="CC278" s="10"/>
      <c r="CD278" s="10"/>
      <c r="CE278" s="10"/>
      <c r="CF278" s="10"/>
    </row>
    <row r="279" spans="1:84" x14ac:dyDescent="0.25">
      <c r="A279" s="10"/>
      <c r="B279" s="10"/>
      <c r="C279" s="12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4"/>
      <c r="X279" s="10"/>
      <c r="Y279" s="10"/>
      <c r="Z279" s="10"/>
      <c r="AA279" s="10"/>
      <c r="AB279" s="10"/>
      <c r="AC279" s="10"/>
      <c r="AD279" s="15"/>
      <c r="AE279" s="8"/>
      <c r="AF279" s="10"/>
      <c r="AG279" s="10"/>
      <c r="AH279" s="9"/>
      <c r="AI279" s="9"/>
      <c r="AJ279" s="10"/>
      <c r="AK279" s="16"/>
      <c r="AL279" s="16"/>
      <c r="AM279" s="10"/>
      <c r="AN279" s="10"/>
      <c r="AO279" s="16"/>
      <c r="AP279" s="10"/>
      <c r="AQ279" s="12"/>
      <c r="AR279" s="12"/>
      <c r="AS279" s="10"/>
      <c r="AT279" s="10"/>
      <c r="AU279" s="10"/>
      <c r="AV279" s="10"/>
      <c r="AW279" s="10"/>
      <c r="AX279" s="10"/>
      <c r="AY279" s="10"/>
      <c r="AZ279" s="10"/>
      <c r="BA279" s="10"/>
      <c r="BB279" s="10"/>
      <c r="BC279" s="10"/>
      <c r="BD279" s="10"/>
      <c r="BE279" s="10"/>
      <c r="BF279" s="10"/>
      <c r="BG279" s="10"/>
      <c r="BH279" s="10"/>
      <c r="BI279" s="10"/>
      <c r="BJ279" s="10"/>
      <c r="BK279" s="10"/>
      <c r="BL279" s="10"/>
      <c r="BM279" s="10"/>
      <c r="BN279" s="10"/>
      <c r="BO279" s="10"/>
      <c r="BP279" s="10"/>
      <c r="BQ279" s="10"/>
      <c r="BR279" s="10"/>
      <c r="BS279" s="10"/>
      <c r="BT279" s="10"/>
      <c r="BU279" s="10"/>
      <c r="BV279" s="10"/>
      <c r="BW279" s="10"/>
      <c r="BX279" s="10"/>
      <c r="BY279" s="10"/>
      <c r="BZ279" s="10"/>
      <c r="CA279" s="10"/>
      <c r="CB279" s="10"/>
      <c r="CC279" s="10"/>
      <c r="CD279" s="10"/>
      <c r="CE279" s="10"/>
      <c r="CF279" s="10"/>
    </row>
    <row r="280" spans="1:84" x14ac:dyDescent="0.25">
      <c r="A280" s="10"/>
      <c r="B280" s="10"/>
      <c r="C280" s="12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4"/>
      <c r="X280" s="10"/>
      <c r="Y280" s="10"/>
      <c r="Z280" s="10"/>
      <c r="AA280" s="10"/>
      <c r="AB280" s="10"/>
      <c r="AC280" s="10"/>
      <c r="AD280" s="15"/>
      <c r="AE280" s="8"/>
      <c r="AF280" s="10"/>
      <c r="AG280" s="10"/>
      <c r="AH280" s="9"/>
      <c r="AI280" s="9"/>
      <c r="AJ280" s="10"/>
      <c r="AK280" s="16"/>
      <c r="AL280" s="16"/>
      <c r="AM280" s="10"/>
      <c r="AN280" s="10"/>
      <c r="AO280" s="16"/>
      <c r="AP280" s="10"/>
      <c r="AQ280" s="12"/>
      <c r="AR280" s="12"/>
      <c r="AS280" s="10"/>
      <c r="AT280" s="10"/>
      <c r="AU280" s="10"/>
      <c r="AV280" s="10"/>
      <c r="AW280" s="10"/>
      <c r="AX280" s="10"/>
      <c r="AY280" s="10"/>
      <c r="AZ280" s="10"/>
      <c r="BA280" s="10"/>
      <c r="BB280" s="10"/>
      <c r="BC280" s="10"/>
      <c r="BD280" s="10"/>
      <c r="BE280" s="10"/>
      <c r="BF280" s="10"/>
      <c r="BG280" s="10"/>
      <c r="BH280" s="10"/>
      <c r="BI280" s="10"/>
      <c r="BJ280" s="10"/>
      <c r="BK280" s="10"/>
      <c r="BL280" s="10"/>
      <c r="BM280" s="10"/>
      <c r="BN280" s="10"/>
      <c r="BO280" s="10"/>
      <c r="BP280" s="10"/>
      <c r="BQ280" s="10"/>
      <c r="BR280" s="10"/>
      <c r="BS280" s="10"/>
      <c r="BT280" s="10"/>
      <c r="BU280" s="10"/>
      <c r="BV280" s="10"/>
      <c r="BW280" s="10"/>
      <c r="BX280" s="10"/>
      <c r="BY280" s="10"/>
      <c r="BZ280" s="10"/>
      <c r="CA280" s="10"/>
      <c r="CB280" s="10"/>
      <c r="CC280" s="10"/>
      <c r="CD280" s="10"/>
      <c r="CE280" s="10"/>
      <c r="CF280" s="10"/>
    </row>
    <row r="281" spans="1:84" x14ac:dyDescent="0.25">
      <c r="A281" s="10"/>
      <c r="B281" s="10"/>
      <c r="C281" s="12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4"/>
      <c r="X281" s="10"/>
      <c r="Y281" s="10"/>
      <c r="Z281" s="10"/>
      <c r="AA281" s="10"/>
      <c r="AB281" s="10"/>
      <c r="AC281" s="10"/>
      <c r="AD281" s="15"/>
      <c r="AE281" s="8"/>
      <c r="AF281" s="10"/>
      <c r="AG281" s="10"/>
      <c r="AH281" s="9"/>
      <c r="AI281" s="9"/>
      <c r="AJ281" s="10"/>
      <c r="AK281" s="16"/>
      <c r="AL281" s="16"/>
      <c r="AM281" s="10"/>
      <c r="AN281" s="10"/>
      <c r="AO281" s="16"/>
      <c r="AP281" s="10"/>
      <c r="AQ281" s="12"/>
      <c r="AR281" s="12"/>
      <c r="AS281" s="10"/>
      <c r="AT281" s="10"/>
      <c r="AU281" s="10"/>
      <c r="AV281" s="10"/>
      <c r="AW281" s="10"/>
      <c r="AX281" s="10"/>
      <c r="AY281" s="10"/>
      <c r="AZ281" s="10"/>
      <c r="BA281" s="10"/>
      <c r="BB281" s="10"/>
      <c r="BC281" s="10"/>
      <c r="BD281" s="10"/>
      <c r="BE281" s="10"/>
      <c r="BF281" s="10"/>
      <c r="BG281" s="10"/>
      <c r="BH281" s="10"/>
      <c r="BI281" s="10"/>
      <c r="BJ281" s="10"/>
      <c r="BK281" s="10"/>
      <c r="BL281" s="10"/>
      <c r="BM281" s="10"/>
      <c r="BN281" s="10"/>
      <c r="BO281" s="10"/>
      <c r="BP281" s="10"/>
      <c r="BQ281" s="10"/>
      <c r="BR281" s="10"/>
      <c r="BS281" s="10"/>
      <c r="BT281" s="10"/>
      <c r="BU281" s="10"/>
      <c r="BV281" s="10"/>
      <c r="BW281" s="10"/>
      <c r="BX281" s="10"/>
      <c r="BY281" s="10"/>
      <c r="BZ281" s="10"/>
      <c r="CA281" s="10"/>
      <c r="CB281" s="10"/>
      <c r="CC281" s="10"/>
      <c r="CD281" s="10"/>
      <c r="CE281" s="10"/>
      <c r="CF281" s="10"/>
    </row>
    <row r="282" spans="1:84" x14ac:dyDescent="0.25">
      <c r="A282" s="10"/>
      <c r="B282" s="10"/>
      <c r="C282" s="12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4"/>
      <c r="X282" s="10"/>
      <c r="Y282" s="10"/>
      <c r="Z282" s="10"/>
      <c r="AA282" s="10"/>
      <c r="AB282" s="10"/>
      <c r="AC282" s="10"/>
      <c r="AD282" s="15"/>
      <c r="AE282" s="8"/>
      <c r="AF282" s="10"/>
      <c r="AG282" s="10"/>
      <c r="AH282" s="9"/>
      <c r="AI282" s="9"/>
      <c r="AJ282" s="10"/>
      <c r="AK282" s="16"/>
      <c r="AL282" s="16"/>
      <c r="AM282" s="10"/>
      <c r="AN282" s="10"/>
      <c r="AO282" s="16"/>
      <c r="AP282" s="10"/>
      <c r="AQ282" s="12"/>
      <c r="AR282" s="12"/>
      <c r="AS282" s="10"/>
      <c r="AT282" s="10"/>
      <c r="AU282" s="10"/>
      <c r="AV282" s="10"/>
      <c r="AW282" s="10"/>
      <c r="AX282" s="10"/>
      <c r="AY282" s="10"/>
      <c r="AZ282" s="10"/>
      <c r="BA282" s="10"/>
      <c r="BB282" s="10"/>
      <c r="BC282" s="10"/>
      <c r="BD282" s="10"/>
      <c r="BE282" s="10"/>
      <c r="BF282" s="10"/>
      <c r="BG282" s="10"/>
      <c r="BH282" s="10"/>
      <c r="BI282" s="10"/>
      <c r="BJ282" s="10"/>
      <c r="BK282" s="10"/>
      <c r="BL282" s="10"/>
      <c r="BM282" s="10"/>
      <c r="BN282" s="10"/>
      <c r="BO282" s="10"/>
      <c r="BP282" s="10"/>
      <c r="BQ282" s="10"/>
      <c r="BR282" s="10"/>
      <c r="BS282" s="10"/>
      <c r="BT282" s="10"/>
      <c r="BU282" s="10"/>
      <c r="BV282" s="10"/>
      <c r="BW282" s="10"/>
      <c r="BX282" s="10"/>
      <c r="BY282" s="10"/>
      <c r="BZ282" s="10"/>
      <c r="CA282" s="10"/>
      <c r="CB282" s="10"/>
      <c r="CC282" s="10"/>
      <c r="CD282" s="10"/>
      <c r="CE282" s="10"/>
      <c r="CF282" s="10"/>
    </row>
    <row r="283" spans="1:84" x14ac:dyDescent="0.25">
      <c r="A283" s="10"/>
      <c r="B283" s="10"/>
      <c r="C283" s="12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4"/>
      <c r="X283" s="10"/>
      <c r="Y283" s="10"/>
      <c r="Z283" s="10"/>
      <c r="AA283" s="10"/>
      <c r="AB283" s="10"/>
      <c r="AC283" s="10"/>
      <c r="AD283" s="15"/>
      <c r="AE283" s="8"/>
      <c r="AF283" s="10"/>
      <c r="AG283" s="10"/>
      <c r="AH283" s="9"/>
      <c r="AI283" s="9"/>
      <c r="AJ283" s="10"/>
      <c r="AK283" s="16"/>
      <c r="AL283" s="16"/>
      <c r="AM283" s="10"/>
      <c r="AN283" s="10"/>
      <c r="AO283" s="16"/>
      <c r="AP283" s="10"/>
      <c r="AQ283" s="12"/>
      <c r="AR283" s="12"/>
      <c r="AS283" s="10"/>
      <c r="AT283" s="10"/>
      <c r="AU283" s="10"/>
      <c r="AV283" s="10"/>
      <c r="AW283" s="10"/>
      <c r="AX283" s="10"/>
      <c r="AY283" s="10"/>
      <c r="AZ283" s="10"/>
      <c r="BA283" s="10"/>
      <c r="BB283" s="10"/>
      <c r="BC283" s="10"/>
      <c r="BD283" s="10"/>
      <c r="BE283" s="10"/>
      <c r="BF283" s="10"/>
      <c r="BG283" s="10"/>
      <c r="BH283" s="10"/>
      <c r="BI283" s="10"/>
      <c r="BJ283" s="10"/>
      <c r="BK283" s="10"/>
      <c r="BL283" s="10"/>
      <c r="BM283" s="10"/>
      <c r="BN283" s="10"/>
      <c r="BO283" s="10"/>
      <c r="BP283" s="10"/>
      <c r="BQ283" s="10"/>
      <c r="BR283" s="10"/>
      <c r="BS283" s="10"/>
      <c r="BT283" s="10"/>
      <c r="BU283" s="10"/>
      <c r="BV283" s="10"/>
      <c r="BW283" s="10"/>
      <c r="BX283" s="10"/>
      <c r="BY283" s="10"/>
      <c r="BZ283" s="10"/>
      <c r="CA283" s="10"/>
      <c r="CB283" s="10"/>
      <c r="CC283" s="10"/>
      <c r="CD283" s="10"/>
      <c r="CE283" s="10"/>
      <c r="CF283" s="10"/>
    </row>
    <row r="284" spans="1:84" x14ac:dyDescent="0.25">
      <c r="A284" s="10"/>
      <c r="B284" s="10"/>
      <c r="C284" s="12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4"/>
      <c r="X284" s="10"/>
      <c r="Y284" s="10"/>
      <c r="Z284" s="10"/>
      <c r="AA284" s="10"/>
      <c r="AB284" s="10"/>
      <c r="AC284" s="10"/>
      <c r="AD284" s="15"/>
      <c r="AE284" s="8"/>
      <c r="AF284" s="10"/>
      <c r="AG284" s="10"/>
      <c r="AH284" s="9"/>
      <c r="AI284" s="9"/>
      <c r="AJ284" s="10"/>
      <c r="AK284" s="16"/>
      <c r="AL284" s="16"/>
      <c r="AM284" s="10"/>
      <c r="AN284" s="10"/>
      <c r="AO284" s="16"/>
      <c r="AP284" s="10"/>
      <c r="AQ284" s="12"/>
      <c r="AR284" s="12"/>
      <c r="AS284" s="10"/>
      <c r="AT284" s="10"/>
      <c r="AU284" s="10"/>
      <c r="AV284" s="10"/>
      <c r="AW284" s="10"/>
      <c r="AX284" s="10"/>
      <c r="AY284" s="10"/>
      <c r="AZ284" s="10"/>
      <c r="BA284" s="10"/>
      <c r="BB284" s="10"/>
      <c r="BC284" s="10"/>
      <c r="BD284" s="10"/>
      <c r="BE284" s="10"/>
      <c r="BF284" s="10"/>
      <c r="BG284" s="10"/>
      <c r="BH284" s="10"/>
      <c r="BI284" s="10"/>
      <c r="BJ284" s="10"/>
      <c r="BK284" s="10"/>
      <c r="BL284" s="10"/>
      <c r="BM284" s="10"/>
      <c r="BN284" s="10"/>
      <c r="BO284" s="10"/>
      <c r="BP284" s="10"/>
      <c r="BQ284" s="10"/>
      <c r="BR284" s="10"/>
      <c r="BS284" s="10"/>
      <c r="BT284" s="10"/>
      <c r="BU284" s="10"/>
      <c r="BV284" s="10"/>
      <c r="BW284" s="10"/>
      <c r="BX284" s="10"/>
      <c r="BY284" s="10"/>
      <c r="BZ284" s="10"/>
      <c r="CA284" s="10"/>
      <c r="CB284" s="10"/>
      <c r="CC284" s="10"/>
      <c r="CD284" s="10"/>
      <c r="CE284" s="10"/>
      <c r="CF284" s="10"/>
    </row>
    <row r="285" spans="1:84" x14ac:dyDescent="0.25">
      <c r="A285" s="10"/>
      <c r="B285" s="10"/>
      <c r="C285" s="12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4"/>
      <c r="X285" s="10"/>
      <c r="Y285" s="10"/>
      <c r="Z285" s="10"/>
      <c r="AA285" s="10"/>
      <c r="AB285" s="10"/>
      <c r="AC285" s="10"/>
      <c r="AD285" s="15"/>
      <c r="AE285" s="8"/>
      <c r="AF285" s="10"/>
      <c r="AG285" s="10"/>
      <c r="AH285" s="9"/>
      <c r="AI285" s="9"/>
      <c r="AJ285" s="10"/>
      <c r="AK285" s="16"/>
      <c r="AL285" s="16"/>
      <c r="AM285" s="10"/>
      <c r="AN285" s="10"/>
      <c r="AO285" s="16"/>
      <c r="AP285" s="10"/>
      <c r="AQ285" s="12"/>
      <c r="AR285" s="12"/>
      <c r="AS285" s="10"/>
      <c r="AT285" s="10"/>
      <c r="AU285" s="10"/>
      <c r="AV285" s="10"/>
      <c r="AW285" s="10"/>
      <c r="AX285" s="10"/>
      <c r="AY285" s="10"/>
      <c r="AZ285" s="10"/>
      <c r="BA285" s="10"/>
      <c r="BB285" s="10"/>
      <c r="BC285" s="10"/>
      <c r="BD285" s="10"/>
      <c r="BE285" s="10"/>
      <c r="BF285" s="10"/>
      <c r="BG285" s="10"/>
      <c r="BH285" s="10"/>
      <c r="BI285" s="10"/>
      <c r="BJ285" s="10"/>
      <c r="BK285" s="10"/>
      <c r="BL285" s="10"/>
      <c r="BM285" s="10"/>
      <c r="BN285" s="10"/>
      <c r="BO285" s="10"/>
      <c r="BP285" s="10"/>
      <c r="BQ285" s="10"/>
      <c r="BR285" s="10"/>
      <c r="BS285" s="10"/>
      <c r="BT285" s="10"/>
      <c r="BU285" s="10"/>
      <c r="BV285" s="10"/>
      <c r="BW285" s="10"/>
      <c r="BX285" s="10"/>
      <c r="BY285" s="10"/>
      <c r="BZ285" s="10"/>
      <c r="CA285" s="10"/>
      <c r="CB285" s="10"/>
      <c r="CC285" s="10"/>
      <c r="CD285" s="10"/>
      <c r="CE285" s="10"/>
      <c r="CF285" s="10"/>
    </row>
    <row r="286" spans="1:84" x14ac:dyDescent="0.25">
      <c r="A286" s="10"/>
      <c r="B286" s="10"/>
      <c r="C286" s="12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4"/>
      <c r="X286" s="10"/>
      <c r="Y286" s="10"/>
      <c r="Z286" s="10"/>
      <c r="AA286" s="10"/>
      <c r="AB286" s="10"/>
      <c r="AC286" s="10"/>
      <c r="AD286" s="15"/>
      <c r="AE286" s="8"/>
      <c r="AF286" s="10"/>
      <c r="AG286" s="10"/>
      <c r="AH286" s="9"/>
      <c r="AI286" s="9"/>
      <c r="AJ286" s="10"/>
      <c r="AK286" s="16"/>
      <c r="AL286" s="16"/>
      <c r="AM286" s="10"/>
      <c r="AN286" s="10"/>
      <c r="AO286" s="16"/>
      <c r="AP286" s="10"/>
      <c r="AQ286" s="12"/>
      <c r="AR286" s="12"/>
      <c r="AS286" s="10"/>
      <c r="AT286" s="10"/>
      <c r="AU286" s="10"/>
      <c r="AV286" s="10"/>
      <c r="AW286" s="10"/>
      <c r="AX286" s="10"/>
      <c r="AY286" s="10"/>
      <c r="AZ286" s="10"/>
      <c r="BA286" s="10"/>
      <c r="BB286" s="10"/>
      <c r="BC286" s="10"/>
      <c r="BD286" s="10"/>
      <c r="BE286" s="10"/>
      <c r="BF286" s="10"/>
      <c r="BG286" s="10"/>
      <c r="BH286" s="10"/>
      <c r="BI286" s="10"/>
      <c r="BJ286" s="10"/>
      <c r="BK286" s="10"/>
      <c r="BL286" s="10"/>
      <c r="BM286" s="10"/>
      <c r="BN286" s="10"/>
      <c r="BO286" s="10"/>
      <c r="BP286" s="10"/>
      <c r="BQ286" s="10"/>
      <c r="BR286" s="10"/>
      <c r="BS286" s="10"/>
      <c r="BT286" s="10"/>
      <c r="BU286" s="10"/>
      <c r="BV286" s="10"/>
      <c r="BW286" s="10"/>
      <c r="BX286" s="10"/>
      <c r="BY286" s="10"/>
      <c r="BZ286" s="10"/>
      <c r="CA286" s="10"/>
      <c r="CB286" s="10"/>
      <c r="CC286" s="10"/>
      <c r="CD286" s="10"/>
      <c r="CE286" s="10"/>
      <c r="CF286" s="10"/>
    </row>
    <row r="287" spans="1:84" x14ac:dyDescent="0.25">
      <c r="A287" s="10"/>
      <c r="B287" s="10"/>
      <c r="C287" s="12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4"/>
      <c r="X287" s="10"/>
      <c r="Y287" s="10"/>
      <c r="Z287" s="10"/>
      <c r="AA287" s="10"/>
      <c r="AB287" s="10"/>
      <c r="AC287" s="10"/>
      <c r="AD287" s="15"/>
      <c r="AE287" s="8"/>
      <c r="AF287" s="10"/>
      <c r="AG287" s="10"/>
      <c r="AH287" s="9"/>
      <c r="AI287" s="9"/>
      <c r="AJ287" s="10"/>
      <c r="AK287" s="16"/>
      <c r="AL287" s="16"/>
      <c r="AM287" s="10"/>
      <c r="AN287" s="10"/>
      <c r="AO287" s="16"/>
      <c r="AP287" s="10"/>
      <c r="AQ287" s="12"/>
      <c r="AR287" s="12"/>
      <c r="AS287" s="10"/>
      <c r="AT287" s="10"/>
      <c r="AU287" s="10"/>
      <c r="AV287" s="10"/>
      <c r="AW287" s="10"/>
      <c r="AX287" s="10"/>
      <c r="AY287" s="10"/>
      <c r="AZ287" s="10"/>
      <c r="BA287" s="10"/>
      <c r="BB287" s="10"/>
      <c r="BC287" s="10"/>
      <c r="BD287" s="10"/>
      <c r="BE287" s="10"/>
      <c r="BF287" s="10"/>
      <c r="BG287" s="10"/>
      <c r="BH287" s="10"/>
      <c r="BI287" s="10"/>
      <c r="BJ287" s="10"/>
      <c r="BK287" s="10"/>
      <c r="BL287" s="10"/>
      <c r="BM287" s="10"/>
      <c r="BN287" s="10"/>
      <c r="BO287" s="10"/>
      <c r="BP287" s="10"/>
      <c r="BQ287" s="10"/>
      <c r="BR287" s="10"/>
      <c r="BS287" s="10"/>
      <c r="BT287" s="10"/>
      <c r="BU287" s="10"/>
      <c r="BV287" s="10"/>
      <c r="BW287" s="10"/>
      <c r="BX287" s="10"/>
      <c r="BY287" s="10"/>
      <c r="BZ287" s="10"/>
      <c r="CA287" s="10"/>
      <c r="CB287" s="10"/>
      <c r="CC287" s="10"/>
      <c r="CD287" s="10"/>
      <c r="CE287" s="10"/>
      <c r="CF287" s="10"/>
    </row>
    <row r="288" spans="1:84" x14ac:dyDescent="0.25">
      <c r="A288" s="10"/>
      <c r="B288" s="10"/>
      <c r="C288" s="12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4"/>
      <c r="X288" s="10"/>
      <c r="Y288" s="10"/>
      <c r="Z288" s="10"/>
      <c r="AA288" s="10"/>
      <c r="AB288" s="10"/>
      <c r="AC288" s="10"/>
      <c r="AD288" s="15"/>
      <c r="AE288" s="8"/>
      <c r="AF288" s="10"/>
      <c r="AG288" s="10"/>
      <c r="AH288" s="9"/>
      <c r="AI288" s="9"/>
      <c r="AJ288" s="10"/>
      <c r="AK288" s="16"/>
      <c r="AL288" s="16"/>
      <c r="AM288" s="10"/>
      <c r="AN288" s="10"/>
      <c r="AO288" s="16"/>
      <c r="AP288" s="10"/>
      <c r="AQ288" s="12"/>
      <c r="AR288" s="12"/>
      <c r="AS288" s="10"/>
      <c r="AT288" s="10"/>
      <c r="AU288" s="10"/>
      <c r="AV288" s="10"/>
      <c r="AW288" s="10"/>
      <c r="AX288" s="10"/>
      <c r="AY288" s="10"/>
      <c r="AZ288" s="10"/>
      <c r="BA288" s="10"/>
      <c r="BB288" s="10"/>
      <c r="BC288" s="10"/>
      <c r="BD288" s="10"/>
      <c r="BE288" s="10"/>
      <c r="BF288" s="10"/>
      <c r="BG288" s="10"/>
      <c r="BH288" s="10"/>
      <c r="BI288" s="10"/>
      <c r="BJ288" s="10"/>
      <c r="BK288" s="10"/>
      <c r="BL288" s="10"/>
      <c r="BM288" s="10"/>
      <c r="BN288" s="10"/>
      <c r="BO288" s="10"/>
      <c r="BP288" s="10"/>
      <c r="BQ288" s="10"/>
      <c r="BR288" s="10"/>
      <c r="BS288" s="10"/>
      <c r="BT288" s="10"/>
      <c r="BU288" s="10"/>
      <c r="BV288" s="10"/>
      <c r="BW288" s="10"/>
      <c r="BX288" s="10"/>
      <c r="BY288" s="10"/>
      <c r="BZ288" s="10"/>
      <c r="CA288" s="10"/>
      <c r="CB288" s="10"/>
      <c r="CC288" s="10"/>
      <c r="CD288" s="10"/>
      <c r="CE288" s="10"/>
      <c r="CF288" s="10"/>
    </row>
    <row r="289" spans="1:84" x14ac:dyDescent="0.25">
      <c r="A289" s="10"/>
      <c r="B289" s="10"/>
      <c r="C289" s="12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4"/>
      <c r="X289" s="10"/>
      <c r="Y289" s="10"/>
      <c r="Z289" s="10"/>
      <c r="AA289" s="10"/>
      <c r="AB289" s="10"/>
      <c r="AC289" s="10"/>
      <c r="AD289" s="15"/>
      <c r="AE289" s="8"/>
      <c r="AF289" s="10"/>
      <c r="AG289" s="10"/>
      <c r="AH289" s="9"/>
      <c r="AI289" s="9"/>
      <c r="AJ289" s="10"/>
      <c r="AK289" s="16"/>
      <c r="AL289" s="16"/>
      <c r="AM289" s="10"/>
      <c r="AN289" s="10"/>
      <c r="AO289" s="16"/>
      <c r="AP289" s="10"/>
      <c r="AQ289" s="12"/>
      <c r="AR289" s="12"/>
      <c r="AS289" s="10"/>
      <c r="AT289" s="10"/>
      <c r="AU289" s="10"/>
      <c r="AV289" s="10"/>
      <c r="AW289" s="10"/>
      <c r="AX289" s="10"/>
      <c r="AY289" s="10"/>
      <c r="AZ289" s="10"/>
      <c r="BA289" s="10"/>
      <c r="BB289" s="10"/>
      <c r="BC289" s="10"/>
      <c r="BD289" s="10"/>
      <c r="BE289" s="10"/>
      <c r="BF289" s="10"/>
      <c r="BG289" s="10"/>
      <c r="BH289" s="10"/>
      <c r="BI289" s="10"/>
      <c r="BJ289" s="10"/>
      <c r="BK289" s="10"/>
      <c r="BL289" s="10"/>
      <c r="BM289" s="10"/>
      <c r="BN289" s="10"/>
      <c r="BO289" s="10"/>
      <c r="BP289" s="10"/>
      <c r="BQ289" s="10"/>
      <c r="BR289" s="10"/>
      <c r="BS289" s="10"/>
      <c r="BT289" s="10"/>
      <c r="BU289" s="10"/>
      <c r="BV289" s="10"/>
      <c r="BW289" s="10"/>
      <c r="BX289" s="10"/>
      <c r="BY289" s="10"/>
      <c r="BZ289" s="10"/>
      <c r="CA289" s="10"/>
      <c r="CB289" s="10"/>
      <c r="CC289" s="10"/>
      <c r="CD289" s="10"/>
      <c r="CE289" s="10"/>
      <c r="CF289" s="10"/>
    </row>
    <row r="290" spans="1:84" x14ac:dyDescent="0.25">
      <c r="A290" s="10"/>
      <c r="B290" s="10"/>
      <c r="C290" s="12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4"/>
      <c r="X290" s="10"/>
      <c r="Y290" s="10"/>
      <c r="Z290" s="10"/>
      <c r="AA290" s="10"/>
      <c r="AB290" s="10"/>
      <c r="AC290" s="10"/>
      <c r="AD290" s="15"/>
      <c r="AE290" s="8"/>
      <c r="AF290" s="10"/>
      <c r="AG290" s="10"/>
      <c r="AH290" s="9"/>
      <c r="AI290" s="9"/>
      <c r="AJ290" s="10"/>
      <c r="AK290" s="16"/>
      <c r="AL290" s="16"/>
      <c r="AM290" s="10"/>
      <c r="AN290" s="10"/>
      <c r="AO290" s="16"/>
      <c r="AP290" s="10"/>
      <c r="AQ290" s="12"/>
      <c r="AR290" s="12"/>
      <c r="AS290" s="10"/>
      <c r="AT290" s="10"/>
      <c r="AU290" s="10"/>
      <c r="AV290" s="10"/>
      <c r="AW290" s="10"/>
      <c r="AX290" s="10"/>
      <c r="AY290" s="10"/>
      <c r="AZ290" s="10"/>
      <c r="BA290" s="10"/>
      <c r="BB290" s="10"/>
      <c r="BC290" s="10"/>
      <c r="BD290" s="10"/>
      <c r="BE290" s="10"/>
      <c r="BF290" s="10"/>
      <c r="BG290" s="10"/>
      <c r="BH290" s="10"/>
      <c r="BI290" s="10"/>
      <c r="BJ290" s="10"/>
      <c r="BK290" s="10"/>
      <c r="BL290" s="10"/>
      <c r="BM290" s="10"/>
      <c r="BN290" s="10"/>
      <c r="BO290" s="10"/>
      <c r="BP290" s="10"/>
      <c r="BQ290" s="10"/>
      <c r="BR290" s="10"/>
      <c r="BS290" s="10"/>
      <c r="BT290" s="10"/>
      <c r="BU290" s="10"/>
      <c r="BV290" s="10"/>
      <c r="BW290" s="10"/>
      <c r="BX290" s="10"/>
      <c r="BY290" s="10"/>
      <c r="BZ290" s="10"/>
      <c r="CA290" s="10"/>
      <c r="CB290" s="10"/>
      <c r="CC290" s="10"/>
      <c r="CD290" s="10"/>
      <c r="CE290" s="10"/>
      <c r="CF290" s="10"/>
    </row>
    <row r="291" spans="1:84" x14ac:dyDescent="0.25">
      <c r="A291" s="10"/>
      <c r="B291" s="10"/>
      <c r="C291" s="12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4"/>
      <c r="X291" s="10"/>
      <c r="Y291" s="10"/>
      <c r="Z291" s="10"/>
      <c r="AA291" s="10"/>
      <c r="AB291" s="10"/>
      <c r="AC291" s="10"/>
      <c r="AD291" s="15"/>
      <c r="AE291" s="8"/>
      <c r="AF291" s="10"/>
      <c r="AG291" s="10"/>
      <c r="AH291" s="9"/>
      <c r="AI291" s="9"/>
      <c r="AJ291" s="10"/>
      <c r="AK291" s="16"/>
      <c r="AL291" s="16"/>
      <c r="AM291" s="10"/>
      <c r="AN291" s="10"/>
      <c r="AO291" s="16"/>
      <c r="AP291" s="10"/>
      <c r="AQ291" s="12"/>
      <c r="AR291" s="12"/>
      <c r="AS291" s="10"/>
      <c r="AT291" s="10"/>
      <c r="AU291" s="10"/>
      <c r="AV291" s="10"/>
      <c r="AW291" s="10"/>
      <c r="AX291" s="10"/>
      <c r="AY291" s="10"/>
      <c r="AZ291" s="10"/>
      <c r="BA291" s="10"/>
      <c r="BB291" s="10"/>
      <c r="BC291" s="10"/>
      <c r="BD291" s="10"/>
      <c r="BE291" s="10"/>
      <c r="BF291" s="10"/>
      <c r="BG291" s="10"/>
      <c r="BH291" s="10"/>
      <c r="BI291" s="10"/>
      <c r="BJ291" s="10"/>
      <c r="BK291" s="10"/>
      <c r="BL291" s="10"/>
      <c r="BM291" s="10"/>
      <c r="BN291" s="10"/>
      <c r="BO291" s="10"/>
      <c r="BP291" s="10"/>
      <c r="BQ291" s="10"/>
      <c r="BR291" s="10"/>
      <c r="BS291" s="10"/>
      <c r="BT291" s="10"/>
      <c r="BU291" s="10"/>
      <c r="BV291" s="10"/>
      <c r="BW291" s="10"/>
      <c r="BX291" s="10"/>
      <c r="BY291" s="10"/>
      <c r="BZ291" s="10"/>
      <c r="CA291" s="10"/>
      <c r="CB291" s="10"/>
      <c r="CC291" s="10"/>
      <c r="CD291" s="10"/>
      <c r="CE291" s="10"/>
      <c r="CF291" s="10"/>
    </row>
    <row r="292" spans="1:84" x14ac:dyDescent="0.25">
      <c r="A292" s="10"/>
      <c r="B292" s="10"/>
      <c r="C292" s="12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4"/>
      <c r="X292" s="10"/>
      <c r="Y292" s="10"/>
      <c r="Z292" s="10"/>
      <c r="AA292" s="10"/>
      <c r="AB292" s="10"/>
      <c r="AC292" s="10"/>
      <c r="AD292" s="15"/>
      <c r="AE292" s="8"/>
      <c r="AF292" s="10"/>
      <c r="AG292" s="10"/>
      <c r="AH292" s="9"/>
      <c r="AI292" s="9"/>
      <c r="AJ292" s="10"/>
      <c r="AK292" s="16"/>
      <c r="AL292" s="16"/>
      <c r="AM292" s="10"/>
      <c r="AN292" s="10"/>
      <c r="AO292" s="16"/>
      <c r="AP292" s="10"/>
      <c r="AQ292" s="12"/>
      <c r="AR292" s="12"/>
      <c r="AS292" s="10"/>
      <c r="AT292" s="10"/>
      <c r="AU292" s="10"/>
      <c r="AV292" s="10"/>
      <c r="AW292" s="10"/>
      <c r="AX292" s="10"/>
      <c r="AY292" s="10"/>
      <c r="AZ292" s="10"/>
      <c r="BA292" s="10"/>
      <c r="BB292" s="10"/>
      <c r="BC292" s="10"/>
      <c r="BD292" s="10"/>
      <c r="BE292" s="10"/>
      <c r="BF292" s="10"/>
      <c r="BG292" s="10"/>
      <c r="BH292" s="10"/>
      <c r="BI292" s="10"/>
      <c r="BJ292" s="10"/>
      <c r="BK292" s="10"/>
      <c r="BL292" s="10"/>
      <c r="BM292" s="10"/>
      <c r="BN292" s="10"/>
      <c r="BO292" s="10"/>
      <c r="BP292" s="10"/>
      <c r="BQ292" s="10"/>
      <c r="BR292" s="10"/>
      <c r="BS292" s="10"/>
      <c r="BT292" s="10"/>
      <c r="BU292" s="10"/>
      <c r="BV292" s="10"/>
      <c r="BW292" s="10"/>
      <c r="BX292" s="10"/>
      <c r="BY292" s="10"/>
      <c r="BZ292" s="10"/>
      <c r="CA292" s="10"/>
      <c r="CB292" s="10"/>
      <c r="CC292" s="10"/>
      <c r="CD292" s="10"/>
      <c r="CE292" s="10"/>
      <c r="CF292" s="10"/>
    </row>
    <row r="293" spans="1:84" x14ac:dyDescent="0.25">
      <c r="A293" s="10"/>
      <c r="B293" s="10"/>
      <c r="C293" s="12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4"/>
      <c r="X293" s="10"/>
      <c r="Y293" s="10"/>
      <c r="Z293" s="10"/>
      <c r="AA293" s="10"/>
      <c r="AB293" s="10"/>
      <c r="AC293" s="10"/>
      <c r="AD293" s="15"/>
      <c r="AE293" s="8"/>
      <c r="AF293" s="10"/>
      <c r="AG293" s="10"/>
      <c r="AH293" s="9"/>
      <c r="AI293" s="9"/>
      <c r="AJ293" s="10"/>
      <c r="AK293" s="16"/>
      <c r="AL293" s="16"/>
      <c r="AM293" s="10"/>
      <c r="AN293" s="10"/>
      <c r="AO293" s="16"/>
      <c r="AP293" s="10"/>
      <c r="AQ293" s="12"/>
      <c r="AR293" s="12"/>
      <c r="AS293" s="10"/>
      <c r="AT293" s="10"/>
      <c r="AU293" s="10"/>
      <c r="AV293" s="10"/>
      <c r="AW293" s="10"/>
      <c r="AX293" s="10"/>
      <c r="AY293" s="10"/>
      <c r="AZ293" s="10"/>
      <c r="BA293" s="10"/>
      <c r="BB293" s="10"/>
      <c r="BC293" s="10"/>
      <c r="BD293" s="10"/>
      <c r="BE293" s="10"/>
      <c r="BF293" s="10"/>
      <c r="BG293" s="10"/>
      <c r="BH293" s="10"/>
      <c r="BI293" s="10"/>
      <c r="BJ293" s="10"/>
      <c r="BK293" s="10"/>
      <c r="BL293" s="10"/>
      <c r="BM293" s="10"/>
      <c r="BN293" s="10"/>
      <c r="BO293" s="10"/>
      <c r="BP293" s="10"/>
      <c r="BQ293" s="10"/>
      <c r="BR293" s="10"/>
      <c r="BS293" s="10"/>
      <c r="BT293" s="10"/>
      <c r="BU293" s="10"/>
      <c r="BV293" s="10"/>
      <c r="BW293" s="10"/>
      <c r="BX293" s="10"/>
      <c r="BY293" s="10"/>
      <c r="BZ293" s="10"/>
      <c r="CA293" s="10"/>
      <c r="CB293" s="10"/>
      <c r="CC293" s="10"/>
      <c r="CD293" s="10"/>
      <c r="CE293" s="10"/>
      <c r="CF293" s="10"/>
    </row>
    <row r="294" spans="1:84" x14ac:dyDescent="0.25">
      <c r="A294" s="10"/>
      <c r="B294" s="10"/>
      <c r="C294" s="12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4"/>
      <c r="X294" s="10"/>
      <c r="Y294" s="10"/>
      <c r="Z294" s="10"/>
      <c r="AA294" s="10"/>
      <c r="AB294" s="10"/>
      <c r="AC294" s="10"/>
      <c r="AD294" s="15"/>
      <c r="AE294" s="8"/>
      <c r="AF294" s="10"/>
      <c r="AG294" s="10"/>
      <c r="AH294" s="9"/>
      <c r="AI294" s="9"/>
      <c r="AJ294" s="10"/>
      <c r="AK294" s="16"/>
      <c r="AL294" s="16"/>
      <c r="AM294" s="10"/>
      <c r="AN294" s="10"/>
      <c r="AO294" s="16"/>
      <c r="AP294" s="10"/>
      <c r="AQ294" s="12"/>
      <c r="AR294" s="12"/>
      <c r="AS294" s="10"/>
      <c r="AT294" s="10"/>
      <c r="AU294" s="10"/>
      <c r="AV294" s="10"/>
      <c r="AW294" s="10"/>
      <c r="AX294" s="10"/>
      <c r="AY294" s="10"/>
      <c r="AZ294" s="10"/>
      <c r="BA294" s="10"/>
      <c r="BB294" s="10"/>
      <c r="BC294" s="10"/>
      <c r="BD294" s="10"/>
      <c r="BE294" s="10"/>
      <c r="BF294" s="10"/>
      <c r="BG294" s="10"/>
      <c r="BH294" s="10"/>
      <c r="BI294" s="10"/>
      <c r="BJ294" s="10"/>
      <c r="BK294" s="10"/>
      <c r="BL294" s="10"/>
      <c r="BM294" s="10"/>
      <c r="BN294" s="10"/>
      <c r="BO294" s="10"/>
      <c r="BP294" s="10"/>
      <c r="BQ294" s="10"/>
      <c r="BR294" s="10"/>
      <c r="BS294" s="10"/>
      <c r="BT294" s="10"/>
      <c r="BU294" s="10"/>
      <c r="BV294" s="10"/>
      <c r="BW294" s="10"/>
      <c r="BX294" s="10"/>
      <c r="BY294" s="10"/>
      <c r="BZ294" s="10"/>
      <c r="CA294" s="10"/>
      <c r="CB294" s="10"/>
      <c r="CC294" s="10"/>
      <c r="CD294" s="10"/>
      <c r="CE294" s="10"/>
      <c r="CF294" s="10"/>
    </row>
    <row r="295" spans="1:84" x14ac:dyDescent="0.25">
      <c r="A295" s="10"/>
      <c r="B295" s="10"/>
      <c r="C295" s="12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4"/>
      <c r="X295" s="10"/>
      <c r="Y295" s="10"/>
      <c r="Z295" s="10"/>
      <c r="AA295" s="10"/>
      <c r="AB295" s="10"/>
      <c r="AC295" s="10"/>
      <c r="AD295" s="15"/>
      <c r="AE295" s="8"/>
      <c r="AF295" s="10"/>
      <c r="AG295" s="10"/>
      <c r="AH295" s="9"/>
      <c r="AI295" s="9"/>
      <c r="AJ295" s="10"/>
      <c r="AK295" s="16"/>
      <c r="AL295" s="16"/>
      <c r="AM295" s="10"/>
      <c r="AN295" s="10"/>
      <c r="AO295" s="16"/>
      <c r="AP295" s="10"/>
      <c r="AQ295" s="12"/>
      <c r="AR295" s="12"/>
      <c r="AS295" s="10"/>
      <c r="AT295" s="10"/>
      <c r="AU295" s="10"/>
      <c r="AV295" s="10"/>
      <c r="AW295" s="10"/>
      <c r="AX295" s="10"/>
      <c r="AY295" s="10"/>
      <c r="AZ295" s="10"/>
      <c r="BA295" s="10"/>
      <c r="BB295" s="10"/>
      <c r="BC295" s="10"/>
      <c r="BD295" s="10"/>
      <c r="BE295" s="10"/>
      <c r="BF295" s="10"/>
      <c r="BG295" s="10"/>
      <c r="BH295" s="10"/>
      <c r="BI295" s="10"/>
      <c r="BJ295" s="10"/>
      <c r="BK295" s="10"/>
      <c r="BL295" s="10"/>
      <c r="BM295" s="10"/>
      <c r="BN295" s="10"/>
      <c r="BO295" s="10"/>
      <c r="BP295" s="10"/>
      <c r="BQ295" s="10"/>
      <c r="BR295" s="10"/>
      <c r="BS295" s="10"/>
      <c r="BT295" s="10"/>
      <c r="BU295" s="10"/>
      <c r="BV295" s="10"/>
      <c r="BW295" s="10"/>
      <c r="BX295" s="10"/>
      <c r="BY295" s="10"/>
      <c r="BZ295" s="10"/>
      <c r="CA295" s="10"/>
      <c r="CB295" s="10"/>
      <c r="CC295" s="10"/>
      <c r="CD295" s="10"/>
      <c r="CE295" s="10"/>
      <c r="CF295" s="10"/>
    </row>
    <row r="296" spans="1:84" x14ac:dyDescent="0.25">
      <c r="A296" s="10"/>
      <c r="B296" s="10"/>
      <c r="C296" s="12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4"/>
      <c r="X296" s="10"/>
      <c r="Y296" s="10"/>
      <c r="Z296" s="10"/>
      <c r="AA296" s="10"/>
      <c r="AB296" s="10"/>
      <c r="AC296" s="10"/>
      <c r="AD296" s="15"/>
      <c r="AE296" s="8"/>
      <c r="AF296" s="10"/>
      <c r="AG296" s="10"/>
      <c r="AH296" s="9"/>
      <c r="AI296" s="9"/>
      <c r="AJ296" s="10"/>
      <c r="AK296" s="16"/>
      <c r="AL296" s="16"/>
      <c r="AM296" s="10"/>
      <c r="AN296" s="10"/>
      <c r="AO296" s="16"/>
      <c r="AP296" s="10"/>
      <c r="AQ296" s="12"/>
      <c r="AR296" s="12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10"/>
      <c r="BK296" s="10"/>
      <c r="BL296" s="10"/>
      <c r="BM296" s="10"/>
      <c r="BN296" s="10"/>
      <c r="BO296" s="10"/>
      <c r="BP296" s="10"/>
      <c r="BQ296" s="10"/>
      <c r="BR296" s="10"/>
      <c r="BS296" s="10"/>
      <c r="BT296" s="10"/>
      <c r="BU296" s="10"/>
      <c r="BV296" s="10"/>
      <c r="BW296" s="10"/>
      <c r="BX296" s="10"/>
      <c r="BY296" s="10"/>
      <c r="BZ296" s="10"/>
      <c r="CA296" s="10"/>
      <c r="CB296" s="10"/>
      <c r="CC296" s="10"/>
      <c r="CD296" s="10"/>
      <c r="CE296" s="10"/>
      <c r="CF296" s="10"/>
    </row>
    <row r="297" spans="1:84" x14ac:dyDescent="0.25">
      <c r="A297" s="10"/>
      <c r="B297" s="10"/>
      <c r="C297" s="12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4"/>
      <c r="X297" s="10"/>
      <c r="Y297" s="10"/>
      <c r="Z297" s="10"/>
      <c r="AA297" s="10"/>
      <c r="AB297" s="10"/>
      <c r="AC297" s="10"/>
      <c r="AD297" s="15"/>
      <c r="AE297" s="8"/>
      <c r="AF297" s="10"/>
      <c r="AG297" s="10"/>
      <c r="AH297" s="9"/>
      <c r="AI297" s="9"/>
      <c r="AJ297" s="10"/>
      <c r="AK297" s="16"/>
      <c r="AL297" s="16"/>
      <c r="AM297" s="10"/>
      <c r="AN297" s="10"/>
      <c r="AO297" s="16"/>
      <c r="AP297" s="10"/>
      <c r="AQ297" s="12"/>
      <c r="AR297" s="12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10"/>
      <c r="BK297" s="10"/>
      <c r="BL297" s="10"/>
      <c r="BM297" s="10"/>
      <c r="BN297" s="10"/>
      <c r="BO297" s="10"/>
      <c r="BP297" s="10"/>
      <c r="BQ297" s="10"/>
      <c r="BR297" s="10"/>
      <c r="BS297" s="10"/>
      <c r="BT297" s="10"/>
      <c r="BU297" s="10"/>
      <c r="BV297" s="10"/>
      <c r="BW297" s="10"/>
      <c r="BX297" s="10"/>
      <c r="BY297" s="10"/>
      <c r="BZ297" s="10"/>
      <c r="CA297" s="10"/>
      <c r="CB297" s="10"/>
      <c r="CC297" s="10"/>
      <c r="CD297" s="10"/>
      <c r="CE297" s="10"/>
      <c r="CF297" s="10"/>
    </row>
    <row r="298" spans="1:84" x14ac:dyDescent="0.25">
      <c r="A298" s="10"/>
      <c r="B298" s="10"/>
      <c r="C298" s="12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4"/>
      <c r="X298" s="10"/>
      <c r="Y298" s="10"/>
      <c r="Z298" s="10"/>
      <c r="AA298" s="10"/>
      <c r="AB298" s="10"/>
      <c r="AC298" s="10"/>
      <c r="AD298" s="15"/>
      <c r="AE298" s="8"/>
      <c r="AF298" s="10"/>
      <c r="AG298" s="10"/>
      <c r="AH298" s="9"/>
      <c r="AI298" s="9"/>
      <c r="AJ298" s="10"/>
      <c r="AK298" s="16"/>
      <c r="AL298" s="16"/>
      <c r="AM298" s="10"/>
      <c r="AN298" s="10"/>
      <c r="AO298" s="16"/>
      <c r="AP298" s="10"/>
      <c r="AQ298" s="12"/>
      <c r="AR298" s="12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10"/>
      <c r="BK298" s="10"/>
      <c r="BL298" s="10"/>
      <c r="BM298" s="10"/>
      <c r="BN298" s="10"/>
      <c r="BO298" s="10"/>
      <c r="BP298" s="10"/>
      <c r="BQ298" s="10"/>
      <c r="BR298" s="10"/>
      <c r="BS298" s="10"/>
      <c r="BT298" s="10"/>
      <c r="BU298" s="10"/>
      <c r="BV298" s="10"/>
      <c r="BW298" s="10"/>
      <c r="BX298" s="10"/>
      <c r="BY298" s="10"/>
      <c r="BZ298" s="10"/>
      <c r="CA298" s="10"/>
      <c r="CB298" s="10"/>
      <c r="CC298" s="10"/>
      <c r="CD298" s="10"/>
      <c r="CE298" s="10"/>
      <c r="CF298" s="10"/>
    </row>
    <row r="299" spans="1:84" x14ac:dyDescent="0.25">
      <c r="A299" s="10"/>
      <c r="B299" s="10"/>
      <c r="C299" s="12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4"/>
      <c r="X299" s="10"/>
      <c r="Y299" s="10"/>
      <c r="Z299" s="10"/>
      <c r="AA299" s="10"/>
      <c r="AB299" s="10"/>
      <c r="AC299" s="10"/>
      <c r="AD299" s="15"/>
      <c r="AE299" s="8"/>
      <c r="AF299" s="10"/>
      <c r="AG299" s="10"/>
      <c r="AH299" s="9"/>
      <c r="AI299" s="9"/>
      <c r="AJ299" s="10"/>
      <c r="AK299" s="16"/>
      <c r="AL299" s="16"/>
      <c r="AM299" s="10"/>
      <c r="AN299" s="10"/>
      <c r="AO299" s="16"/>
      <c r="AP299" s="10"/>
      <c r="AQ299" s="12"/>
      <c r="AR299" s="12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10"/>
      <c r="BK299" s="10"/>
      <c r="BL299" s="10"/>
      <c r="BM299" s="10"/>
      <c r="BN299" s="10"/>
      <c r="BO299" s="10"/>
      <c r="BP299" s="10"/>
      <c r="BQ299" s="10"/>
      <c r="BR299" s="10"/>
      <c r="BS299" s="10"/>
      <c r="BT299" s="10"/>
      <c r="BU299" s="10"/>
      <c r="BV299" s="10"/>
      <c r="BW299" s="10"/>
      <c r="BX299" s="10"/>
      <c r="BY299" s="10"/>
      <c r="BZ299" s="10"/>
      <c r="CA299" s="10"/>
      <c r="CB299" s="10"/>
      <c r="CC299" s="10"/>
      <c r="CD299" s="10"/>
      <c r="CE299" s="10"/>
      <c r="CF299" s="10"/>
    </row>
    <row r="300" spans="1:84" x14ac:dyDescent="0.25">
      <c r="A300" s="10"/>
      <c r="B300" s="10"/>
      <c r="C300" s="12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4"/>
      <c r="X300" s="10"/>
      <c r="Y300" s="10"/>
      <c r="Z300" s="10"/>
      <c r="AA300" s="10"/>
      <c r="AB300" s="10"/>
      <c r="AC300" s="10"/>
      <c r="AD300" s="15"/>
      <c r="AE300" s="8"/>
      <c r="AF300" s="10"/>
      <c r="AG300" s="10"/>
      <c r="AH300" s="9"/>
      <c r="AI300" s="9"/>
      <c r="AJ300" s="10"/>
      <c r="AK300" s="16"/>
      <c r="AL300" s="16"/>
      <c r="AM300" s="10"/>
      <c r="AN300" s="10"/>
      <c r="AO300" s="16"/>
      <c r="AP300" s="10"/>
      <c r="AQ300" s="12"/>
      <c r="AR300" s="12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10"/>
      <c r="BK300" s="10"/>
      <c r="BL300" s="10"/>
      <c r="BM300" s="10"/>
      <c r="BN300" s="10"/>
      <c r="BO300" s="10"/>
      <c r="BP300" s="10"/>
      <c r="BQ300" s="10"/>
      <c r="BR300" s="10"/>
      <c r="BS300" s="10"/>
      <c r="BT300" s="10"/>
      <c r="BU300" s="10"/>
      <c r="BV300" s="10"/>
      <c r="BW300" s="10"/>
      <c r="BX300" s="10"/>
      <c r="BY300" s="10"/>
      <c r="BZ300" s="10"/>
      <c r="CA300" s="10"/>
      <c r="CB300" s="10"/>
      <c r="CC300" s="10"/>
      <c r="CD300" s="10"/>
      <c r="CE300" s="10"/>
      <c r="CF300" s="10"/>
    </row>
    <row r="301" spans="1:84" x14ac:dyDescent="0.25">
      <c r="A301" s="10"/>
      <c r="B301" s="10"/>
      <c r="C301" s="12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4"/>
      <c r="X301" s="10"/>
      <c r="Y301" s="10"/>
      <c r="Z301" s="10"/>
      <c r="AA301" s="10"/>
      <c r="AB301" s="10"/>
      <c r="AC301" s="10"/>
      <c r="AD301" s="15"/>
      <c r="AE301" s="8"/>
      <c r="AF301" s="10"/>
      <c r="AG301" s="10"/>
      <c r="AH301" s="9"/>
      <c r="AI301" s="9"/>
      <c r="AJ301" s="10"/>
      <c r="AK301" s="16"/>
      <c r="AL301" s="16"/>
      <c r="AM301" s="10"/>
      <c r="AN301" s="10"/>
      <c r="AO301" s="16"/>
      <c r="AP301" s="10"/>
      <c r="AQ301" s="12"/>
      <c r="AR301" s="12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10"/>
      <c r="BK301" s="10"/>
      <c r="BL301" s="10"/>
      <c r="BM301" s="10"/>
      <c r="BN301" s="10"/>
      <c r="BO301" s="10"/>
      <c r="BP301" s="10"/>
      <c r="BQ301" s="10"/>
      <c r="BR301" s="10"/>
      <c r="BS301" s="10"/>
      <c r="BT301" s="10"/>
      <c r="BU301" s="10"/>
      <c r="BV301" s="10"/>
      <c r="BW301" s="10"/>
      <c r="BX301" s="10"/>
      <c r="BY301" s="10"/>
      <c r="BZ301" s="10"/>
      <c r="CA301" s="10"/>
      <c r="CB301" s="10"/>
      <c r="CC301" s="10"/>
      <c r="CD301" s="10"/>
      <c r="CE301" s="10"/>
      <c r="CF301" s="10"/>
    </row>
    <row r="302" spans="1:84" x14ac:dyDescent="0.25">
      <c r="A302" s="10"/>
      <c r="B302" s="10"/>
      <c r="C302" s="12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4"/>
      <c r="X302" s="10"/>
      <c r="Y302" s="10"/>
      <c r="Z302" s="10"/>
      <c r="AA302" s="10"/>
      <c r="AB302" s="10"/>
      <c r="AC302" s="10"/>
      <c r="AD302" s="15"/>
      <c r="AE302" s="8"/>
      <c r="AF302" s="10"/>
      <c r="AG302" s="10"/>
      <c r="AH302" s="9"/>
      <c r="AI302" s="9"/>
      <c r="AJ302" s="10"/>
      <c r="AK302" s="16"/>
      <c r="AL302" s="16"/>
      <c r="AM302" s="10"/>
      <c r="AN302" s="10"/>
      <c r="AO302" s="16"/>
      <c r="AP302" s="10"/>
      <c r="AQ302" s="12"/>
      <c r="AR302" s="12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10"/>
      <c r="BK302" s="10"/>
      <c r="BL302" s="10"/>
      <c r="BM302" s="10"/>
      <c r="BN302" s="10"/>
      <c r="BO302" s="10"/>
      <c r="BP302" s="10"/>
      <c r="BQ302" s="10"/>
      <c r="BR302" s="10"/>
      <c r="BS302" s="10"/>
      <c r="BT302" s="10"/>
      <c r="BU302" s="10"/>
      <c r="BV302" s="10"/>
      <c r="BW302" s="10"/>
      <c r="BX302" s="10"/>
      <c r="BY302" s="10"/>
      <c r="BZ302" s="10"/>
      <c r="CA302" s="10"/>
      <c r="CB302" s="10"/>
      <c r="CC302" s="10"/>
      <c r="CD302" s="10"/>
      <c r="CE302" s="10"/>
      <c r="CF302" s="10"/>
    </row>
    <row r="303" spans="1:84" x14ac:dyDescent="0.25">
      <c r="A303" s="10"/>
      <c r="B303" s="10"/>
      <c r="C303" s="12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4"/>
      <c r="X303" s="10"/>
      <c r="Y303" s="10"/>
      <c r="Z303" s="10"/>
      <c r="AA303" s="10"/>
      <c r="AB303" s="10"/>
      <c r="AC303" s="10"/>
      <c r="AD303" s="15"/>
      <c r="AE303" s="8"/>
      <c r="AF303" s="10"/>
      <c r="AG303" s="10"/>
      <c r="AH303" s="9"/>
      <c r="AI303" s="9"/>
      <c r="AJ303" s="10"/>
      <c r="AK303" s="16"/>
      <c r="AL303" s="16"/>
      <c r="AM303" s="10"/>
      <c r="AN303" s="10"/>
      <c r="AO303" s="16"/>
      <c r="AP303" s="10"/>
      <c r="AQ303" s="12"/>
      <c r="AR303" s="12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10"/>
      <c r="BK303" s="10"/>
      <c r="BL303" s="10"/>
      <c r="BM303" s="10"/>
      <c r="BN303" s="10"/>
      <c r="BO303" s="10"/>
      <c r="BP303" s="10"/>
      <c r="BQ303" s="10"/>
      <c r="BR303" s="10"/>
      <c r="BS303" s="10"/>
      <c r="BT303" s="10"/>
      <c r="BU303" s="10"/>
      <c r="BV303" s="10"/>
      <c r="BW303" s="10"/>
      <c r="BX303" s="10"/>
      <c r="BY303" s="10"/>
      <c r="BZ303" s="10"/>
      <c r="CA303" s="10"/>
      <c r="CB303" s="10"/>
      <c r="CC303" s="10"/>
      <c r="CD303" s="10"/>
      <c r="CE303" s="10"/>
      <c r="CF303" s="10"/>
    </row>
    <row r="304" spans="1:84" x14ac:dyDescent="0.25">
      <c r="A304" s="10"/>
      <c r="B304" s="10"/>
      <c r="C304" s="12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4"/>
      <c r="X304" s="10"/>
      <c r="Y304" s="10"/>
      <c r="Z304" s="10"/>
      <c r="AA304" s="10"/>
      <c r="AB304" s="10"/>
      <c r="AC304" s="10"/>
      <c r="AD304" s="15"/>
      <c r="AE304" s="8"/>
      <c r="AF304" s="10"/>
      <c r="AG304" s="10"/>
      <c r="AH304" s="9"/>
      <c r="AI304" s="9"/>
      <c r="AJ304" s="10"/>
      <c r="AK304" s="16"/>
      <c r="AL304" s="16"/>
      <c r="AM304" s="10"/>
      <c r="AN304" s="10"/>
      <c r="AO304" s="16"/>
      <c r="AP304" s="10"/>
      <c r="AQ304" s="12"/>
      <c r="AR304" s="12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10"/>
      <c r="BK304" s="10"/>
      <c r="BL304" s="10"/>
      <c r="BM304" s="10"/>
      <c r="BN304" s="10"/>
      <c r="BO304" s="10"/>
      <c r="BP304" s="10"/>
      <c r="BQ304" s="10"/>
      <c r="BR304" s="10"/>
      <c r="BS304" s="10"/>
      <c r="BT304" s="10"/>
      <c r="BU304" s="10"/>
      <c r="BV304" s="10"/>
      <c r="BW304" s="10"/>
      <c r="BX304" s="10"/>
      <c r="BY304" s="10"/>
      <c r="BZ304" s="10"/>
      <c r="CA304" s="10"/>
      <c r="CB304" s="10"/>
      <c r="CC304" s="10"/>
      <c r="CD304" s="10"/>
      <c r="CE304" s="10"/>
      <c r="CF304" s="10"/>
    </row>
    <row r="305" spans="1:84" x14ac:dyDescent="0.25">
      <c r="A305" s="10"/>
      <c r="B305" s="10"/>
      <c r="C305" s="12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4"/>
      <c r="X305" s="10"/>
      <c r="Y305" s="10"/>
      <c r="Z305" s="10"/>
      <c r="AA305" s="10"/>
      <c r="AB305" s="10"/>
      <c r="AC305" s="10"/>
      <c r="AD305" s="15"/>
      <c r="AE305" s="8"/>
      <c r="AF305" s="10"/>
      <c r="AG305" s="10"/>
      <c r="AH305" s="9"/>
      <c r="AI305" s="9"/>
      <c r="AJ305" s="10"/>
      <c r="AK305" s="16"/>
      <c r="AL305" s="16"/>
      <c r="AM305" s="10"/>
      <c r="AN305" s="10"/>
      <c r="AO305" s="16"/>
      <c r="AP305" s="10"/>
      <c r="AQ305" s="12"/>
      <c r="AR305" s="12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10"/>
      <c r="BK305" s="10"/>
      <c r="BL305" s="10"/>
      <c r="BM305" s="10"/>
      <c r="BN305" s="10"/>
      <c r="BO305" s="10"/>
      <c r="BP305" s="10"/>
      <c r="BQ305" s="10"/>
      <c r="BR305" s="10"/>
      <c r="BS305" s="10"/>
      <c r="BT305" s="10"/>
      <c r="BU305" s="10"/>
      <c r="BV305" s="10"/>
      <c r="BW305" s="10"/>
      <c r="BX305" s="10"/>
      <c r="BY305" s="10"/>
      <c r="BZ305" s="10"/>
      <c r="CA305" s="10"/>
      <c r="CB305" s="10"/>
      <c r="CC305" s="10"/>
      <c r="CD305" s="10"/>
      <c r="CE305" s="10"/>
      <c r="CF305" s="10"/>
    </row>
    <row r="306" spans="1:84" x14ac:dyDescent="0.25">
      <c r="A306" s="10"/>
      <c r="B306" s="10"/>
      <c r="C306" s="12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4"/>
      <c r="X306" s="10"/>
      <c r="Y306" s="10"/>
      <c r="Z306" s="10"/>
      <c r="AA306" s="10"/>
      <c r="AB306" s="10"/>
      <c r="AC306" s="10"/>
      <c r="AD306" s="15"/>
      <c r="AE306" s="8"/>
      <c r="AF306" s="10"/>
      <c r="AG306" s="10"/>
      <c r="AH306" s="9"/>
      <c r="AI306" s="9"/>
      <c r="AJ306" s="10"/>
      <c r="AK306" s="16"/>
      <c r="AL306" s="16"/>
      <c r="AM306" s="10"/>
      <c r="AN306" s="10"/>
      <c r="AO306" s="16"/>
      <c r="AP306" s="10"/>
      <c r="AQ306" s="12"/>
      <c r="AR306" s="12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10"/>
      <c r="BK306" s="10"/>
      <c r="BL306" s="10"/>
      <c r="BM306" s="10"/>
      <c r="BN306" s="10"/>
      <c r="BO306" s="10"/>
      <c r="BP306" s="10"/>
      <c r="BQ306" s="10"/>
      <c r="BR306" s="10"/>
      <c r="BS306" s="10"/>
      <c r="BT306" s="10"/>
      <c r="BU306" s="10"/>
      <c r="BV306" s="10"/>
      <c r="BW306" s="10"/>
      <c r="BX306" s="10"/>
      <c r="BY306" s="10"/>
      <c r="BZ306" s="10"/>
      <c r="CA306" s="10"/>
      <c r="CB306" s="10"/>
      <c r="CC306" s="10"/>
      <c r="CD306" s="10"/>
      <c r="CE306" s="10"/>
      <c r="CF306" s="10"/>
    </row>
    <row r="307" spans="1:84" x14ac:dyDescent="0.25">
      <c r="A307" s="10"/>
      <c r="B307" s="10"/>
      <c r="C307" s="12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4"/>
      <c r="X307" s="10"/>
      <c r="Y307" s="10"/>
      <c r="Z307" s="10"/>
      <c r="AA307" s="10"/>
      <c r="AB307" s="10"/>
      <c r="AC307" s="10"/>
      <c r="AD307" s="15"/>
      <c r="AE307" s="8"/>
      <c r="AF307" s="10"/>
      <c r="AG307" s="10"/>
      <c r="AH307" s="9"/>
      <c r="AI307" s="9"/>
      <c r="AJ307" s="10"/>
      <c r="AK307" s="16"/>
      <c r="AL307" s="16"/>
      <c r="AM307" s="10"/>
      <c r="AN307" s="10"/>
      <c r="AO307" s="16"/>
      <c r="AP307" s="10"/>
      <c r="AQ307" s="12"/>
      <c r="AR307" s="12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10"/>
      <c r="BK307" s="10"/>
      <c r="BL307" s="10"/>
      <c r="BM307" s="10"/>
      <c r="BN307" s="10"/>
      <c r="BO307" s="10"/>
      <c r="BP307" s="10"/>
      <c r="BQ307" s="10"/>
      <c r="BR307" s="10"/>
      <c r="BS307" s="10"/>
      <c r="BT307" s="10"/>
      <c r="BU307" s="10"/>
      <c r="BV307" s="10"/>
      <c r="BW307" s="10"/>
      <c r="BX307" s="10"/>
      <c r="BY307" s="10"/>
      <c r="BZ307" s="10"/>
      <c r="CA307" s="10"/>
      <c r="CB307" s="10"/>
      <c r="CC307" s="10"/>
      <c r="CD307" s="10"/>
      <c r="CE307" s="10"/>
      <c r="CF307" s="10"/>
    </row>
    <row r="308" spans="1:84" x14ac:dyDescent="0.25">
      <c r="A308" s="10"/>
      <c r="B308" s="10"/>
      <c r="C308" s="12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4"/>
      <c r="X308" s="10"/>
      <c r="Y308" s="10"/>
      <c r="Z308" s="10"/>
      <c r="AA308" s="10"/>
      <c r="AB308" s="10"/>
      <c r="AC308" s="10"/>
      <c r="AD308" s="15"/>
      <c r="AE308" s="8"/>
      <c r="AF308" s="10"/>
      <c r="AG308" s="10"/>
      <c r="AH308" s="9"/>
      <c r="AI308" s="9"/>
      <c r="AJ308" s="10"/>
      <c r="AK308" s="16"/>
      <c r="AL308" s="16"/>
      <c r="AM308" s="10"/>
      <c r="AN308" s="10"/>
      <c r="AO308" s="16"/>
      <c r="AP308" s="10"/>
      <c r="AQ308" s="12"/>
      <c r="AR308" s="12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10"/>
      <c r="BK308" s="10"/>
      <c r="BL308" s="10"/>
      <c r="BM308" s="10"/>
      <c r="BN308" s="10"/>
      <c r="BO308" s="10"/>
      <c r="BP308" s="10"/>
      <c r="BQ308" s="10"/>
      <c r="BR308" s="10"/>
      <c r="BS308" s="10"/>
      <c r="BT308" s="10"/>
      <c r="BU308" s="10"/>
      <c r="BV308" s="10"/>
      <c r="BW308" s="10"/>
      <c r="BX308" s="10"/>
      <c r="BY308" s="10"/>
      <c r="BZ308" s="10"/>
      <c r="CA308" s="10"/>
      <c r="CB308" s="10"/>
      <c r="CC308" s="10"/>
      <c r="CD308" s="10"/>
      <c r="CE308" s="10"/>
      <c r="CF308" s="10"/>
    </row>
    <row r="309" spans="1:84" x14ac:dyDescent="0.25">
      <c r="A309" s="10"/>
      <c r="B309" s="10"/>
      <c r="C309" s="12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4"/>
      <c r="X309" s="10"/>
      <c r="Y309" s="10"/>
      <c r="Z309" s="10"/>
      <c r="AA309" s="10"/>
      <c r="AB309" s="10"/>
      <c r="AC309" s="10"/>
      <c r="AD309" s="15"/>
      <c r="AE309" s="8"/>
      <c r="AF309" s="10"/>
      <c r="AG309" s="10"/>
      <c r="AH309" s="9"/>
      <c r="AI309" s="9"/>
      <c r="AJ309" s="10"/>
      <c r="AK309" s="16"/>
      <c r="AL309" s="16"/>
      <c r="AM309" s="10"/>
      <c r="AN309" s="10"/>
      <c r="AO309" s="16"/>
      <c r="AP309" s="10"/>
      <c r="AQ309" s="12"/>
      <c r="AR309" s="12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10"/>
      <c r="BK309" s="10"/>
      <c r="BL309" s="10"/>
      <c r="BM309" s="10"/>
      <c r="BN309" s="10"/>
      <c r="BO309" s="10"/>
      <c r="BP309" s="10"/>
      <c r="BQ309" s="10"/>
      <c r="BR309" s="10"/>
      <c r="BS309" s="10"/>
      <c r="BT309" s="10"/>
      <c r="BU309" s="10"/>
      <c r="BV309" s="10"/>
      <c r="BW309" s="10"/>
      <c r="BX309" s="10"/>
      <c r="BY309" s="10"/>
      <c r="BZ309" s="10"/>
      <c r="CA309" s="10"/>
      <c r="CB309" s="10"/>
      <c r="CC309" s="10"/>
      <c r="CD309" s="10"/>
      <c r="CE309" s="10"/>
      <c r="CF309" s="10"/>
    </row>
    <row r="310" spans="1:84" x14ac:dyDescent="0.25">
      <c r="A310" s="10"/>
      <c r="B310" s="10"/>
      <c r="C310" s="12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4"/>
      <c r="X310" s="10"/>
      <c r="Y310" s="10"/>
      <c r="Z310" s="10"/>
      <c r="AA310" s="10"/>
      <c r="AB310" s="10"/>
      <c r="AC310" s="10"/>
      <c r="AD310" s="15"/>
      <c r="AE310" s="8"/>
      <c r="AF310" s="10"/>
      <c r="AG310" s="10"/>
      <c r="AH310" s="9"/>
      <c r="AI310" s="9"/>
      <c r="AJ310" s="10"/>
      <c r="AK310" s="16"/>
      <c r="AL310" s="16"/>
      <c r="AM310" s="10"/>
      <c r="AN310" s="10"/>
      <c r="AO310" s="16"/>
      <c r="AP310" s="10"/>
      <c r="AQ310" s="12"/>
      <c r="AR310" s="12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10"/>
      <c r="BK310" s="10"/>
      <c r="BL310" s="10"/>
      <c r="BM310" s="10"/>
      <c r="BN310" s="10"/>
      <c r="BO310" s="10"/>
      <c r="BP310" s="10"/>
      <c r="BQ310" s="10"/>
      <c r="BR310" s="10"/>
      <c r="BS310" s="10"/>
      <c r="BT310" s="10"/>
      <c r="BU310" s="10"/>
      <c r="BV310" s="10"/>
      <c r="BW310" s="10"/>
      <c r="BX310" s="10"/>
      <c r="BY310" s="10"/>
      <c r="BZ310" s="10"/>
      <c r="CA310" s="10"/>
      <c r="CB310" s="10"/>
      <c r="CC310" s="10"/>
      <c r="CD310" s="10"/>
      <c r="CE310" s="10"/>
      <c r="CF310" s="10"/>
    </row>
    <row r="311" spans="1:84" x14ac:dyDescent="0.25">
      <c r="A311" s="10"/>
      <c r="B311" s="10"/>
      <c r="C311" s="12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4"/>
      <c r="X311" s="10"/>
      <c r="Y311" s="10"/>
      <c r="Z311" s="10"/>
      <c r="AA311" s="10"/>
      <c r="AB311" s="10"/>
      <c r="AC311" s="10"/>
      <c r="AD311" s="15"/>
      <c r="AE311" s="8"/>
      <c r="AF311" s="10"/>
      <c r="AG311" s="10"/>
      <c r="AH311" s="9"/>
      <c r="AI311" s="9"/>
      <c r="AJ311" s="10"/>
      <c r="AK311" s="16"/>
      <c r="AL311" s="16"/>
      <c r="AM311" s="10"/>
      <c r="AN311" s="10"/>
      <c r="AO311" s="16"/>
      <c r="AP311" s="10"/>
      <c r="AQ311" s="12"/>
      <c r="AR311" s="12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10"/>
      <c r="BK311" s="10"/>
      <c r="BL311" s="10"/>
      <c r="BM311" s="10"/>
      <c r="BN311" s="10"/>
      <c r="BO311" s="10"/>
      <c r="BP311" s="10"/>
      <c r="BQ311" s="10"/>
      <c r="BR311" s="10"/>
      <c r="BS311" s="10"/>
      <c r="BT311" s="10"/>
      <c r="BU311" s="10"/>
      <c r="BV311" s="10"/>
      <c r="BW311" s="10"/>
      <c r="BX311" s="10"/>
      <c r="BY311" s="10"/>
      <c r="BZ311" s="10"/>
      <c r="CA311" s="10"/>
      <c r="CB311" s="10"/>
      <c r="CC311" s="10"/>
      <c r="CD311" s="10"/>
      <c r="CE311" s="10"/>
      <c r="CF311" s="10"/>
    </row>
    <row r="312" spans="1:84" x14ac:dyDescent="0.25">
      <c r="A312" s="10"/>
      <c r="B312" s="10"/>
      <c r="C312" s="12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4"/>
      <c r="X312" s="10"/>
      <c r="Y312" s="10"/>
      <c r="Z312" s="10"/>
      <c r="AA312" s="10"/>
      <c r="AB312" s="10"/>
      <c r="AC312" s="10"/>
      <c r="AD312" s="15"/>
      <c r="AE312" s="8"/>
      <c r="AF312" s="10"/>
      <c r="AG312" s="10"/>
      <c r="AH312" s="9"/>
      <c r="AI312" s="9"/>
      <c r="AJ312" s="10"/>
      <c r="AK312" s="16"/>
      <c r="AL312" s="16"/>
      <c r="AM312" s="10"/>
      <c r="AN312" s="10"/>
      <c r="AO312" s="16"/>
      <c r="AP312" s="10"/>
      <c r="AQ312" s="12"/>
      <c r="AR312" s="12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10"/>
      <c r="BK312" s="10"/>
      <c r="BL312" s="10"/>
      <c r="BM312" s="10"/>
      <c r="BN312" s="10"/>
      <c r="BO312" s="10"/>
      <c r="BP312" s="10"/>
      <c r="BQ312" s="10"/>
      <c r="BR312" s="10"/>
      <c r="BS312" s="10"/>
      <c r="BT312" s="10"/>
      <c r="BU312" s="10"/>
      <c r="BV312" s="10"/>
      <c r="BW312" s="10"/>
      <c r="BX312" s="10"/>
      <c r="BY312" s="10"/>
      <c r="BZ312" s="10"/>
      <c r="CA312" s="10"/>
      <c r="CB312" s="10"/>
      <c r="CC312" s="10"/>
      <c r="CD312" s="10"/>
      <c r="CE312" s="10"/>
      <c r="CF312" s="10"/>
    </row>
    <row r="313" spans="1:84" x14ac:dyDescent="0.25">
      <c r="A313" s="10"/>
      <c r="B313" s="10"/>
      <c r="C313" s="12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4"/>
      <c r="X313" s="10"/>
      <c r="Y313" s="10"/>
      <c r="Z313" s="10"/>
      <c r="AA313" s="10"/>
      <c r="AB313" s="10"/>
      <c r="AC313" s="10"/>
      <c r="AD313" s="15"/>
      <c r="AE313" s="8"/>
      <c r="AF313" s="10"/>
      <c r="AG313" s="10"/>
      <c r="AH313" s="9"/>
      <c r="AI313" s="9"/>
      <c r="AJ313" s="10"/>
      <c r="AK313" s="16"/>
      <c r="AL313" s="16"/>
      <c r="AM313" s="10"/>
      <c r="AN313" s="10"/>
      <c r="AO313" s="16"/>
      <c r="AP313" s="10"/>
      <c r="AQ313" s="12"/>
      <c r="AR313" s="12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10"/>
      <c r="BK313" s="10"/>
      <c r="BL313" s="10"/>
      <c r="BM313" s="10"/>
      <c r="BN313" s="10"/>
      <c r="BO313" s="10"/>
      <c r="BP313" s="10"/>
      <c r="BQ313" s="10"/>
      <c r="BR313" s="10"/>
      <c r="BS313" s="10"/>
      <c r="BT313" s="10"/>
      <c r="BU313" s="10"/>
      <c r="BV313" s="10"/>
      <c r="BW313" s="10"/>
      <c r="BX313" s="10"/>
      <c r="BY313" s="10"/>
      <c r="BZ313" s="10"/>
      <c r="CA313" s="10"/>
      <c r="CB313" s="10"/>
      <c r="CC313" s="10"/>
      <c r="CD313" s="10"/>
      <c r="CE313" s="10"/>
      <c r="CF313" s="10"/>
    </row>
    <row r="314" spans="1:84" x14ac:dyDescent="0.25">
      <c r="A314" s="10"/>
      <c r="B314" s="10"/>
      <c r="C314" s="12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4"/>
      <c r="X314" s="10"/>
      <c r="Y314" s="10"/>
      <c r="Z314" s="10"/>
      <c r="AA314" s="10"/>
      <c r="AB314" s="10"/>
      <c r="AC314" s="10"/>
      <c r="AD314" s="15"/>
      <c r="AE314" s="8"/>
      <c r="AF314" s="10"/>
      <c r="AG314" s="10"/>
      <c r="AH314" s="9"/>
      <c r="AI314" s="9"/>
      <c r="AJ314" s="10"/>
      <c r="AK314" s="16"/>
      <c r="AL314" s="16"/>
      <c r="AM314" s="10"/>
      <c r="AN314" s="10"/>
      <c r="AO314" s="16"/>
      <c r="AP314" s="10"/>
      <c r="AQ314" s="12"/>
      <c r="AR314" s="12"/>
      <c r="AS314" s="10"/>
      <c r="AT314" s="10"/>
      <c r="AU314" s="10"/>
      <c r="AV314" s="10"/>
      <c r="AW314" s="10"/>
      <c r="AX314" s="10"/>
      <c r="AY314" s="10"/>
      <c r="AZ314" s="10"/>
      <c r="BA314" s="10"/>
      <c r="BB314" s="10"/>
      <c r="BC314" s="10"/>
      <c r="BD314" s="10"/>
      <c r="BE314" s="10"/>
      <c r="BF314" s="10"/>
      <c r="BG314" s="10"/>
      <c r="BH314" s="10"/>
      <c r="BI314" s="10"/>
      <c r="BJ314" s="10"/>
      <c r="BK314" s="10"/>
      <c r="BL314" s="10"/>
      <c r="BM314" s="10"/>
      <c r="BN314" s="10"/>
      <c r="BO314" s="10"/>
      <c r="BP314" s="10"/>
      <c r="BQ314" s="10"/>
      <c r="BR314" s="10"/>
      <c r="BS314" s="10"/>
      <c r="BT314" s="10"/>
      <c r="BU314" s="10"/>
      <c r="BV314" s="10"/>
      <c r="BW314" s="10"/>
      <c r="BX314" s="10"/>
      <c r="BY314" s="10"/>
      <c r="BZ314" s="10"/>
      <c r="CA314" s="10"/>
      <c r="CB314" s="10"/>
      <c r="CC314" s="10"/>
      <c r="CD314" s="10"/>
      <c r="CE314" s="10"/>
      <c r="CF314" s="10"/>
    </row>
    <row r="315" spans="1:84" x14ac:dyDescent="0.25">
      <c r="A315" s="10"/>
      <c r="B315" s="10"/>
      <c r="C315" s="12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4"/>
      <c r="X315" s="10"/>
      <c r="Y315" s="10"/>
      <c r="Z315" s="10"/>
      <c r="AA315" s="10"/>
      <c r="AB315" s="10"/>
      <c r="AC315" s="10"/>
      <c r="AD315" s="15"/>
      <c r="AE315" s="8"/>
      <c r="AF315" s="10"/>
      <c r="AG315" s="10"/>
      <c r="AH315" s="9"/>
      <c r="AI315" s="9"/>
      <c r="AJ315" s="10"/>
      <c r="AK315" s="16"/>
      <c r="AL315" s="16"/>
      <c r="AM315" s="10"/>
      <c r="AN315" s="10"/>
      <c r="AO315" s="16"/>
      <c r="AP315" s="10"/>
      <c r="AQ315" s="12"/>
      <c r="AR315" s="12"/>
      <c r="AS315" s="10"/>
      <c r="AT315" s="10"/>
      <c r="AU315" s="10"/>
      <c r="AV315" s="10"/>
      <c r="AW315" s="10"/>
      <c r="AX315" s="10"/>
      <c r="AY315" s="10"/>
      <c r="AZ315" s="10"/>
      <c r="BA315" s="10"/>
      <c r="BB315" s="10"/>
      <c r="BC315" s="10"/>
      <c r="BD315" s="10"/>
      <c r="BE315" s="10"/>
      <c r="BF315" s="10"/>
      <c r="BG315" s="10"/>
      <c r="BH315" s="10"/>
      <c r="BI315" s="10"/>
      <c r="BJ315" s="10"/>
      <c r="BK315" s="10"/>
      <c r="BL315" s="10"/>
      <c r="BM315" s="10"/>
      <c r="BN315" s="10"/>
      <c r="BO315" s="10"/>
      <c r="BP315" s="10"/>
      <c r="BQ315" s="10"/>
      <c r="BR315" s="10"/>
      <c r="BS315" s="10"/>
      <c r="BT315" s="10"/>
      <c r="BU315" s="10"/>
      <c r="BV315" s="10"/>
      <c r="BW315" s="10"/>
      <c r="BX315" s="10"/>
      <c r="BY315" s="10"/>
      <c r="BZ315" s="10"/>
      <c r="CA315" s="10"/>
      <c r="CB315" s="10"/>
      <c r="CC315" s="10"/>
      <c r="CD315" s="10"/>
      <c r="CE315" s="10"/>
      <c r="CF315" s="10"/>
    </row>
    <row r="316" spans="1:84" x14ac:dyDescent="0.25">
      <c r="A316" s="10"/>
      <c r="B316" s="10"/>
      <c r="C316" s="12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4"/>
      <c r="X316" s="10"/>
      <c r="Y316" s="10"/>
      <c r="Z316" s="10"/>
      <c r="AA316" s="10"/>
      <c r="AB316" s="10"/>
      <c r="AC316" s="10"/>
      <c r="AD316" s="15"/>
      <c r="AE316" s="8"/>
      <c r="AF316" s="10"/>
      <c r="AG316" s="10"/>
      <c r="AH316" s="9"/>
      <c r="AI316" s="9"/>
      <c r="AJ316" s="10"/>
      <c r="AK316" s="16"/>
      <c r="AL316" s="16"/>
      <c r="AM316" s="10"/>
      <c r="AN316" s="10"/>
      <c r="AO316" s="16"/>
      <c r="AP316" s="10"/>
      <c r="AQ316" s="12"/>
      <c r="AR316" s="12"/>
      <c r="AS316" s="10"/>
      <c r="AT316" s="10"/>
      <c r="AU316" s="10"/>
      <c r="AV316" s="10"/>
      <c r="AW316" s="10"/>
      <c r="AX316" s="10"/>
      <c r="AY316" s="10"/>
      <c r="AZ316" s="10"/>
      <c r="BA316" s="10"/>
      <c r="BB316" s="10"/>
      <c r="BC316" s="10"/>
      <c r="BD316" s="10"/>
      <c r="BE316" s="10"/>
      <c r="BF316" s="10"/>
      <c r="BG316" s="10"/>
      <c r="BH316" s="10"/>
      <c r="BI316" s="10"/>
      <c r="BJ316" s="10"/>
      <c r="BK316" s="10"/>
      <c r="BL316" s="10"/>
      <c r="BM316" s="10"/>
      <c r="BN316" s="10"/>
      <c r="BO316" s="10"/>
      <c r="BP316" s="10"/>
      <c r="BQ316" s="10"/>
      <c r="BR316" s="10"/>
      <c r="BS316" s="10"/>
      <c r="BT316" s="10"/>
      <c r="BU316" s="10"/>
      <c r="BV316" s="10"/>
      <c r="BW316" s="10"/>
      <c r="BX316" s="10"/>
      <c r="BY316" s="10"/>
      <c r="BZ316" s="10"/>
      <c r="CA316" s="10"/>
      <c r="CB316" s="10"/>
      <c r="CC316" s="10"/>
      <c r="CD316" s="10"/>
      <c r="CE316" s="10"/>
      <c r="CF316" s="10"/>
    </row>
    <row r="317" spans="1:84" x14ac:dyDescent="0.25">
      <c r="A317" s="10"/>
      <c r="B317" s="10"/>
      <c r="C317" s="12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4"/>
      <c r="X317" s="10"/>
      <c r="Y317" s="10"/>
      <c r="Z317" s="10"/>
      <c r="AA317" s="10"/>
      <c r="AB317" s="10"/>
      <c r="AC317" s="10"/>
      <c r="AD317" s="15"/>
      <c r="AE317" s="8"/>
      <c r="AF317" s="10"/>
      <c r="AG317" s="10"/>
      <c r="AH317" s="9"/>
      <c r="AI317" s="9"/>
      <c r="AJ317" s="10"/>
      <c r="AK317" s="16"/>
      <c r="AL317" s="16"/>
      <c r="AM317" s="10"/>
      <c r="AN317" s="10"/>
      <c r="AO317" s="16"/>
      <c r="AP317" s="10"/>
      <c r="AQ317" s="12"/>
      <c r="AR317" s="12"/>
      <c r="AS317" s="10"/>
      <c r="AT317" s="10"/>
      <c r="AU317" s="10"/>
      <c r="AV317" s="10"/>
      <c r="AW317" s="10"/>
      <c r="AX317" s="10"/>
      <c r="AY317" s="10"/>
      <c r="AZ317" s="10"/>
      <c r="BA317" s="10"/>
      <c r="BB317" s="10"/>
      <c r="BC317" s="10"/>
      <c r="BD317" s="10"/>
      <c r="BE317" s="10"/>
      <c r="BF317" s="10"/>
      <c r="BG317" s="10"/>
      <c r="BH317" s="10"/>
      <c r="BI317" s="10"/>
      <c r="BJ317" s="10"/>
      <c r="BK317" s="10"/>
      <c r="BL317" s="10"/>
      <c r="BM317" s="10"/>
      <c r="BN317" s="10"/>
      <c r="BO317" s="10"/>
      <c r="BP317" s="10"/>
      <c r="BQ317" s="10"/>
      <c r="BR317" s="10"/>
      <c r="BS317" s="10"/>
      <c r="BT317" s="10"/>
      <c r="BU317" s="10"/>
      <c r="BV317" s="10"/>
      <c r="BW317" s="10"/>
      <c r="BX317" s="10"/>
      <c r="BY317" s="10"/>
      <c r="BZ317" s="10"/>
      <c r="CA317" s="10"/>
      <c r="CB317" s="10"/>
      <c r="CC317" s="10"/>
      <c r="CD317" s="10"/>
      <c r="CE317" s="10"/>
      <c r="CF317" s="10"/>
    </row>
    <row r="318" spans="1:84" x14ac:dyDescent="0.25">
      <c r="A318" s="10"/>
      <c r="B318" s="10"/>
      <c r="C318" s="12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4"/>
      <c r="X318" s="10"/>
      <c r="Y318" s="10"/>
      <c r="Z318" s="10"/>
      <c r="AA318" s="10"/>
      <c r="AB318" s="10"/>
      <c r="AC318" s="10"/>
      <c r="AD318" s="15"/>
      <c r="AE318" s="8"/>
      <c r="AF318" s="10"/>
      <c r="AG318" s="10"/>
      <c r="AH318" s="9"/>
      <c r="AI318" s="9"/>
      <c r="AJ318" s="10"/>
      <c r="AK318" s="16"/>
      <c r="AL318" s="16"/>
      <c r="AM318" s="10"/>
      <c r="AN318" s="10"/>
      <c r="AO318" s="16"/>
      <c r="AP318" s="10"/>
      <c r="AQ318" s="12"/>
      <c r="AR318" s="12"/>
      <c r="AS318" s="10"/>
      <c r="AT318" s="10"/>
      <c r="AU318" s="10"/>
      <c r="AV318" s="10"/>
      <c r="AW318" s="10"/>
      <c r="AX318" s="10"/>
      <c r="AY318" s="10"/>
      <c r="AZ318" s="10"/>
      <c r="BA318" s="10"/>
      <c r="BB318" s="10"/>
      <c r="BC318" s="10"/>
      <c r="BD318" s="10"/>
      <c r="BE318" s="10"/>
      <c r="BF318" s="10"/>
      <c r="BG318" s="10"/>
      <c r="BH318" s="10"/>
      <c r="BI318" s="10"/>
      <c r="BJ318" s="10"/>
      <c r="BK318" s="10"/>
      <c r="BL318" s="10"/>
      <c r="BM318" s="10"/>
      <c r="BN318" s="10"/>
      <c r="BO318" s="10"/>
      <c r="BP318" s="10"/>
      <c r="BQ318" s="10"/>
      <c r="BR318" s="10"/>
      <c r="BS318" s="10"/>
      <c r="BT318" s="10"/>
      <c r="BU318" s="10"/>
      <c r="BV318" s="10"/>
      <c r="BW318" s="10"/>
      <c r="BX318" s="10"/>
      <c r="BY318" s="10"/>
      <c r="BZ318" s="10"/>
      <c r="CA318" s="10"/>
      <c r="CB318" s="10"/>
      <c r="CC318" s="10"/>
      <c r="CD318" s="10"/>
      <c r="CE318" s="10"/>
      <c r="CF318" s="10"/>
    </row>
    <row r="319" spans="1:84" x14ac:dyDescent="0.25">
      <c r="A319" s="10"/>
      <c r="B319" s="10"/>
      <c r="C319" s="12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4"/>
      <c r="X319" s="10"/>
      <c r="Y319" s="10"/>
      <c r="Z319" s="10"/>
      <c r="AA319" s="10"/>
      <c r="AB319" s="10"/>
      <c r="AC319" s="10"/>
      <c r="AD319" s="15"/>
      <c r="AE319" s="8"/>
      <c r="AF319" s="10"/>
      <c r="AG319" s="10"/>
      <c r="AH319" s="9"/>
      <c r="AI319" s="9"/>
      <c r="AJ319" s="10"/>
      <c r="AK319" s="16"/>
      <c r="AL319" s="16"/>
      <c r="AM319" s="10"/>
      <c r="AN319" s="10"/>
      <c r="AO319" s="16"/>
      <c r="AP319" s="10"/>
      <c r="AQ319" s="12"/>
      <c r="AR319" s="12"/>
      <c r="AS319" s="10"/>
      <c r="AT319" s="10"/>
      <c r="AU319" s="10"/>
      <c r="AV319" s="10"/>
      <c r="AW319" s="10"/>
      <c r="AX319" s="10"/>
      <c r="AY319" s="10"/>
      <c r="AZ319" s="10"/>
      <c r="BA319" s="10"/>
      <c r="BB319" s="10"/>
      <c r="BC319" s="10"/>
      <c r="BD319" s="10"/>
      <c r="BE319" s="10"/>
      <c r="BF319" s="10"/>
      <c r="BG319" s="10"/>
      <c r="BH319" s="10"/>
      <c r="BI319" s="10"/>
      <c r="BJ319" s="10"/>
      <c r="BK319" s="10"/>
      <c r="BL319" s="10"/>
      <c r="BM319" s="10"/>
      <c r="BN319" s="10"/>
      <c r="BO319" s="10"/>
      <c r="BP319" s="10"/>
      <c r="BQ319" s="10"/>
      <c r="BR319" s="10"/>
      <c r="BS319" s="10"/>
      <c r="BT319" s="10"/>
      <c r="BU319" s="10"/>
      <c r="BV319" s="10"/>
      <c r="BW319" s="10"/>
      <c r="BX319" s="10"/>
      <c r="BY319" s="10"/>
      <c r="BZ319" s="10"/>
      <c r="CA319" s="10"/>
      <c r="CB319" s="10"/>
      <c r="CC319" s="10"/>
      <c r="CD319" s="10"/>
      <c r="CE319" s="10"/>
      <c r="CF319" s="10"/>
    </row>
    <row r="320" spans="1:84" x14ac:dyDescent="0.25">
      <c r="A320" s="10"/>
      <c r="B320" s="10"/>
      <c r="C320" s="12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4"/>
      <c r="X320" s="10"/>
      <c r="Y320" s="10"/>
      <c r="Z320" s="10"/>
      <c r="AA320" s="10"/>
      <c r="AB320" s="10"/>
      <c r="AC320" s="10"/>
      <c r="AD320" s="15"/>
      <c r="AE320" s="8"/>
      <c r="AF320" s="10"/>
      <c r="AG320" s="10"/>
      <c r="AH320" s="9"/>
      <c r="AI320" s="9"/>
      <c r="AJ320" s="10"/>
      <c r="AK320" s="16"/>
      <c r="AL320" s="16"/>
      <c r="AM320" s="10"/>
      <c r="AN320" s="10"/>
      <c r="AO320" s="16"/>
      <c r="AP320" s="10"/>
      <c r="AQ320" s="12"/>
      <c r="AR320" s="12"/>
      <c r="AS320" s="10"/>
      <c r="AT320" s="10"/>
      <c r="AU320" s="10"/>
      <c r="AV320" s="10"/>
      <c r="AW320" s="10"/>
      <c r="AX320" s="10"/>
      <c r="AY320" s="10"/>
      <c r="AZ320" s="10"/>
      <c r="BA320" s="10"/>
      <c r="BB320" s="10"/>
      <c r="BC320" s="10"/>
      <c r="BD320" s="10"/>
      <c r="BE320" s="10"/>
      <c r="BF320" s="10"/>
      <c r="BG320" s="10"/>
      <c r="BH320" s="10"/>
      <c r="BI320" s="10"/>
      <c r="BJ320" s="10"/>
      <c r="BK320" s="10"/>
      <c r="BL320" s="10"/>
      <c r="BM320" s="10"/>
      <c r="BN320" s="10"/>
      <c r="BO320" s="10"/>
      <c r="BP320" s="10"/>
      <c r="BQ320" s="10"/>
      <c r="BR320" s="10"/>
      <c r="BS320" s="10"/>
      <c r="BT320" s="10"/>
      <c r="BU320" s="10"/>
      <c r="BV320" s="10"/>
      <c r="BW320" s="10"/>
      <c r="BX320" s="10"/>
      <c r="BY320" s="10"/>
      <c r="BZ320" s="10"/>
      <c r="CA320" s="10"/>
      <c r="CB320" s="10"/>
      <c r="CC320" s="10"/>
      <c r="CD320" s="10"/>
      <c r="CE320" s="10"/>
      <c r="CF320" s="10"/>
    </row>
    <row r="321" spans="1:84" x14ac:dyDescent="0.25">
      <c r="A321" s="10"/>
      <c r="B321" s="10"/>
      <c r="C321" s="12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4"/>
      <c r="X321" s="10"/>
      <c r="Y321" s="10"/>
      <c r="Z321" s="10"/>
      <c r="AA321" s="10"/>
      <c r="AB321" s="10"/>
      <c r="AC321" s="10"/>
      <c r="AD321" s="15"/>
      <c r="AE321" s="8"/>
      <c r="AF321" s="10"/>
      <c r="AG321" s="10"/>
      <c r="AH321" s="9"/>
      <c r="AI321" s="9"/>
      <c r="AJ321" s="10"/>
      <c r="AK321" s="16"/>
      <c r="AL321" s="16"/>
      <c r="AM321" s="10"/>
      <c r="AN321" s="10"/>
      <c r="AO321" s="16"/>
      <c r="AP321" s="10"/>
      <c r="AQ321" s="12"/>
      <c r="AR321" s="12"/>
      <c r="AS321" s="10"/>
      <c r="AT321" s="10"/>
      <c r="AU321" s="10"/>
      <c r="AV321" s="10"/>
      <c r="AW321" s="10"/>
      <c r="AX321" s="10"/>
      <c r="AY321" s="10"/>
      <c r="AZ321" s="10"/>
      <c r="BA321" s="10"/>
      <c r="BB321" s="10"/>
      <c r="BC321" s="10"/>
      <c r="BD321" s="10"/>
      <c r="BE321" s="10"/>
      <c r="BF321" s="10"/>
      <c r="BG321" s="10"/>
      <c r="BH321" s="10"/>
      <c r="BI321" s="10"/>
      <c r="BJ321" s="10"/>
      <c r="BK321" s="10"/>
      <c r="BL321" s="10"/>
      <c r="BM321" s="10"/>
      <c r="BN321" s="10"/>
      <c r="BO321" s="10"/>
      <c r="BP321" s="10"/>
      <c r="BQ321" s="10"/>
      <c r="BR321" s="10"/>
      <c r="BS321" s="10"/>
      <c r="BT321" s="10"/>
      <c r="BU321" s="10"/>
      <c r="BV321" s="10"/>
      <c r="BW321" s="10"/>
      <c r="BX321" s="10"/>
      <c r="BY321" s="10"/>
      <c r="BZ321" s="10"/>
      <c r="CA321" s="10"/>
      <c r="CB321" s="10"/>
      <c r="CC321" s="10"/>
      <c r="CD321" s="10"/>
      <c r="CE321" s="10"/>
      <c r="CF321" s="10"/>
    </row>
    <row r="322" spans="1:84" x14ac:dyDescent="0.25">
      <c r="A322" s="10"/>
      <c r="B322" s="10"/>
      <c r="C322" s="12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4"/>
      <c r="X322" s="10"/>
      <c r="Y322" s="10"/>
      <c r="Z322" s="10"/>
      <c r="AA322" s="10"/>
      <c r="AB322" s="10"/>
      <c r="AC322" s="10"/>
      <c r="AD322" s="15"/>
      <c r="AE322" s="8"/>
      <c r="AF322" s="10"/>
      <c r="AG322" s="10"/>
      <c r="AH322" s="9"/>
      <c r="AI322" s="9"/>
      <c r="AJ322" s="10"/>
      <c r="AK322" s="16"/>
      <c r="AL322" s="16"/>
      <c r="AM322" s="10"/>
      <c r="AN322" s="10"/>
      <c r="AO322" s="16"/>
      <c r="AP322" s="10"/>
      <c r="AQ322" s="12"/>
      <c r="AR322" s="12"/>
      <c r="AS322" s="10"/>
      <c r="AT322" s="10"/>
      <c r="AU322" s="10"/>
      <c r="AV322" s="10"/>
      <c r="AW322" s="10"/>
      <c r="AX322" s="10"/>
      <c r="AY322" s="10"/>
      <c r="AZ322" s="10"/>
      <c r="BA322" s="10"/>
      <c r="BB322" s="10"/>
      <c r="BC322" s="10"/>
      <c r="BD322" s="10"/>
      <c r="BE322" s="10"/>
      <c r="BF322" s="10"/>
      <c r="BG322" s="10"/>
      <c r="BH322" s="10"/>
      <c r="BI322" s="10"/>
      <c r="BJ322" s="10"/>
      <c r="BK322" s="10"/>
      <c r="BL322" s="10"/>
      <c r="BM322" s="10"/>
      <c r="BN322" s="10"/>
      <c r="BO322" s="10"/>
      <c r="BP322" s="10"/>
      <c r="BQ322" s="10"/>
      <c r="BR322" s="10"/>
      <c r="BS322" s="10"/>
      <c r="BT322" s="10"/>
      <c r="BU322" s="10"/>
      <c r="BV322" s="10"/>
      <c r="BW322" s="10"/>
      <c r="BX322" s="10"/>
      <c r="BY322" s="10"/>
      <c r="BZ322" s="10"/>
      <c r="CA322" s="10"/>
      <c r="CB322" s="10"/>
      <c r="CC322" s="10"/>
      <c r="CD322" s="10"/>
      <c r="CE322" s="10"/>
      <c r="CF322" s="10"/>
    </row>
    <row r="323" spans="1:84" x14ac:dyDescent="0.25">
      <c r="A323" s="10"/>
      <c r="B323" s="10"/>
      <c r="C323" s="12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4"/>
      <c r="X323" s="10"/>
      <c r="Y323" s="10"/>
      <c r="Z323" s="10"/>
      <c r="AA323" s="10"/>
      <c r="AB323" s="10"/>
      <c r="AC323" s="10"/>
      <c r="AD323" s="15"/>
      <c r="AE323" s="8"/>
      <c r="AF323" s="10"/>
      <c r="AG323" s="10"/>
      <c r="AH323" s="9"/>
      <c r="AI323" s="9"/>
      <c r="AJ323" s="10"/>
      <c r="AK323" s="16"/>
      <c r="AL323" s="16"/>
      <c r="AM323" s="10"/>
      <c r="AN323" s="10"/>
      <c r="AO323" s="16"/>
      <c r="AP323" s="10"/>
      <c r="AQ323" s="12"/>
      <c r="AR323" s="12"/>
      <c r="AS323" s="10"/>
      <c r="AT323" s="10"/>
      <c r="AU323" s="10"/>
      <c r="AV323" s="10"/>
      <c r="AW323" s="10"/>
      <c r="AX323" s="10"/>
      <c r="AY323" s="10"/>
      <c r="AZ323" s="10"/>
      <c r="BA323" s="10"/>
      <c r="BB323" s="10"/>
      <c r="BC323" s="10"/>
      <c r="BD323" s="10"/>
      <c r="BE323" s="10"/>
      <c r="BF323" s="10"/>
      <c r="BG323" s="10"/>
      <c r="BH323" s="10"/>
      <c r="BI323" s="10"/>
      <c r="BJ323" s="10"/>
      <c r="BK323" s="10"/>
      <c r="BL323" s="10"/>
      <c r="BM323" s="10"/>
      <c r="BN323" s="10"/>
      <c r="BO323" s="10"/>
      <c r="BP323" s="10"/>
      <c r="BQ323" s="10"/>
      <c r="BR323" s="10"/>
      <c r="BS323" s="10"/>
      <c r="BT323" s="10"/>
      <c r="BU323" s="10"/>
      <c r="BV323" s="10"/>
      <c r="BW323" s="10"/>
      <c r="BX323" s="10"/>
      <c r="BY323" s="10"/>
      <c r="BZ323" s="10"/>
      <c r="CA323" s="10"/>
      <c r="CB323" s="10"/>
      <c r="CC323" s="10"/>
      <c r="CD323" s="10"/>
      <c r="CE323" s="10"/>
      <c r="CF323" s="10"/>
    </row>
    <row r="324" spans="1:84" x14ac:dyDescent="0.25">
      <c r="A324" s="10"/>
      <c r="B324" s="10"/>
      <c r="C324" s="12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4"/>
      <c r="X324" s="10"/>
      <c r="Y324" s="10"/>
      <c r="Z324" s="10"/>
      <c r="AA324" s="10"/>
      <c r="AB324" s="10"/>
      <c r="AC324" s="10"/>
      <c r="AD324" s="15"/>
      <c r="AE324" s="8"/>
      <c r="AF324" s="10"/>
      <c r="AG324" s="10"/>
      <c r="AH324" s="9"/>
      <c r="AI324" s="9"/>
      <c r="AJ324" s="10"/>
      <c r="AK324" s="16"/>
      <c r="AL324" s="16"/>
      <c r="AM324" s="10"/>
      <c r="AN324" s="10"/>
      <c r="AO324" s="16"/>
      <c r="AP324" s="10"/>
      <c r="AQ324" s="12"/>
      <c r="AR324" s="12"/>
      <c r="AS324" s="10"/>
      <c r="AT324" s="10"/>
      <c r="AU324" s="10"/>
      <c r="AV324" s="10"/>
      <c r="AW324" s="10"/>
      <c r="AX324" s="10"/>
      <c r="AY324" s="10"/>
      <c r="AZ324" s="10"/>
      <c r="BA324" s="10"/>
      <c r="BB324" s="10"/>
      <c r="BC324" s="10"/>
      <c r="BD324" s="10"/>
      <c r="BE324" s="10"/>
      <c r="BF324" s="10"/>
      <c r="BG324" s="10"/>
      <c r="BH324" s="10"/>
      <c r="BI324" s="10"/>
      <c r="BJ324" s="10"/>
      <c r="BK324" s="10"/>
      <c r="BL324" s="10"/>
      <c r="BM324" s="10"/>
      <c r="BN324" s="10"/>
      <c r="BO324" s="10"/>
      <c r="BP324" s="10"/>
      <c r="BQ324" s="10"/>
      <c r="BR324" s="10"/>
      <c r="BS324" s="10"/>
      <c r="BT324" s="10"/>
      <c r="BU324" s="10"/>
      <c r="BV324" s="10"/>
      <c r="BW324" s="10"/>
      <c r="BX324" s="10"/>
      <c r="BY324" s="10"/>
      <c r="BZ324" s="10"/>
      <c r="CA324" s="10"/>
      <c r="CB324" s="10"/>
      <c r="CC324" s="10"/>
      <c r="CD324" s="10"/>
      <c r="CE324" s="10"/>
      <c r="CF324" s="10"/>
    </row>
    <row r="325" spans="1:84" x14ac:dyDescent="0.25">
      <c r="A325" s="10"/>
      <c r="B325" s="10"/>
      <c r="C325" s="12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4"/>
      <c r="X325" s="10"/>
      <c r="Y325" s="10"/>
      <c r="Z325" s="10"/>
      <c r="AA325" s="10"/>
      <c r="AB325" s="10"/>
      <c r="AC325" s="10"/>
      <c r="AD325" s="15"/>
      <c r="AE325" s="8"/>
      <c r="AF325" s="10"/>
      <c r="AG325" s="10"/>
      <c r="AH325" s="9"/>
      <c r="AI325" s="9"/>
      <c r="AJ325" s="10"/>
      <c r="AK325" s="16"/>
      <c r="AL325" s="16"/>
      <c r="AM325" s="10"/>
      <c r="AN325" s="10"/>
      <c r="AO325" s="16"/>
      <c r="AP325" s="10"/>
      <c r="AQ325" s="12"/>
      <c r="AR325" s="12"/>
      <c r="AS325" s="10"/>
      <c r="AT325" s="10"/>
      <c r="AU325" s="10"/>
      <c r="AV325" s="10"/>
      <c r="AW325" s="10"/>
      <c r="AX325" s="10"/>
      <c r="AY325" s="10"/>
      <c r="AZ325" s="10"/>
      <c r="BA325" s="10"/>
      <c r="BB325" s="10"/>
      <c r="BC325" s="10"/>
      <c r="BD325" s="10"/>
      <c r="BE325" s="10"/>
      <c r="BF325" s="10"/>
      <c r="BG325" s="10"/>
      <c r="BH325" s="10"/>
      <c r="BI325" s="10"/>
      <c r="BJ325" s="10"/>
      <c r="BK325" s="10"/>
      <c r="BL325" s="10"/>
      <c r="BM325" s="10"/>
      <c r="BN325" s="10"/>
      <c r="BO325" s="10"/>
      <c r="BP325" s="10"/>
      <c r="BQ325" s="10"/>
      <c r="BR325" s="10"/>
      <c r="BS325" s="10"/>
      <c r="BT325" s="10"/>
      <c r="BU325" s="10"/>
      <c r="BV325" s="10"/>
      <c r="BW325" s="10"/>
      <c r="BX325" s="10"/>
      <c r="BY325" s="10"/>
      <c r="BZ325" s="10"/>
      <c r="CA325" s="10"/>
      <c r="CB325" s="10"/>
      <c r="CC325" s="10"/>
      <c r="CD325" s="10"/>
      <c r="CE325" s="10"/>
      <c r="CF325" s="10"/>
    </row>
    <row r="326" spans="1:84" x14ac:dyDescent="0.25">
      <c r="A326" s="10"/>
      <c r="B326" s="10"/>
      <c r="C326" s="12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4"/>
      <c r="X326" s="10"/>
      <c r="Y326" s="10"/>
      <c r="Z326" s="10"/>
      <c r="AA326" s="10"/>
      <c r="AB326" s="10"/>
      <c r="AC326" s="10"/>
      <c r="AD326" s="15"/>
      <c r="AE326" s="8"/>
      <c r="AF326" s="10"/>
      <c r="AG326" s="10"/>
      <c r="AH326" s="9"/>
      <c r="AI326" s="9"/>
      <c r="AJ326" s="10"/>
      <c r="AK326" s="16"/>
      <c r="AL326" s="16"/>
      <c r="AM326" s="10"/>
      <c r="AN326" s="10"/>
      <c r="AO326" s="16"/>
      <c r="AP326" s="10"/>
      <c r="AQ326" s="12"/>
      <c r="AR326" s="12"/>
      <c r="AS326" s="10"/>
      <c r="AT326" s="10"/>
      <c r="AU326" s="10"/>
      <c r="AV326" s="10"/>
      <c r="AW326" s="10"/>
      <c r="AX326" s="10"/>
      <c r="AY326" s="10"/>
      <c r="AZ326" s="10"/>
      <c r="BA326" s="10"/>
      <c r="BB326" s="10"/>
      <c r="BC326" s="10"/>
      <c r="BD326" s="10"/>
      <c r="BE326" s="10"/>
      <c r="BF326" s="10"/>
      <c r="BG326" s="10"/>
      <c r="BH326" s="10"/>
      <c r="BI326" s="10"/>
      <c r="BJ326" s="10"/>
      <c r="BK326" s="10"/>
      <c r="BL326" s="10"/>
      <c r="BM326" s="10"/>
      <c r="BN326" s="10"/>
      <c r="BO326" s="10"/>
      <c r="BP326" s="10"/>
      <c r="BQ326" s="10"/>
      <c r="BR326" s="10"/>
      <c r="BS326" s="10"/>
      <c r="BT326" s="10"/>
      <c r="BU326" s="10"/>
      <c r="BV326" s="10"/>
      <c r="BW326" s="10"/>
      <c r="BX326" s="10"/>
      <c r="BY326" s="10"/>
      <c r="BZ326" s="10"/>
      <c r="CA326" s="10"/>
      <c r="CB326" s="10"/>
      <c r="CC326" s="10"/>
      <c r="CD326" s="10"/>
      <c r="CE326" s="10"/>
      <c r="CF326" s="10"/>
    </row>
    <row r="327" spans="1:84" x14ac:dyDescent="0.25">
      <c r="A327" s="10"/>
      <c r="B327" s="10"/>
      <c r="C327" s="12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4"/>
      <c r="X327" s="10"/>
      <c r="Y327" s="10"/>
      <c r="Z327" s="10"/>
      <c r="AA327" s="10"/>
      <c r="AB327" s="10"/>
      <c r="AC327" s="10"/>
      <c r="AD327" s="15"/>
      <c r="AE327" s="8"/>
      <c r="AF327" s="10"/>
      <c r="AG327" s="10"/>
      <c r="AH327" s="9"/>
      <c r="AI327" s="9"/>
      <c r="AJ327" s="10"/>
      <c r="AK327" s="16"/>
      <c r="AL327" s="16"/>
      <c r="AM327" s="10"/>
      <c r="AN327" s="10"/>
      <c r="AO327" s="16"/>
      <c r="AP327" s="10"/>
      <c r="AQ327" s="12"/>
      <c r="AR327" s="12"/>
      <c r="AS327" s="10"/>
      <c r="AT327" s="10"/>
      <c r="AU327" s="10"/>
      <c r="AV327" s="10"/>
      <c r="AW327" s="10"/>
      <c r="AX327" s="10"/>
      <c r="AY327" s="10"/>
      <c r="AZ327" s="10"/>
      <c r="BA327" s="10"/>
      <c r="BB327" s="10"/>
      <c r="BC327" s="10"/>
      <c r="BD327" s="10"/>
      <c r="BE327" s="10"/>
      <c r="BF327" s="10"/>
      <c r="BG327" s="10"/>
      <c r="BH327" s="10"/>
      <c r="BI327" s="10"/>
      <c r="BJ327" s="10"/>
      <c r="BK327" s="10"/>
      <c r="BL327" s="10"/>
      <c r="BM327" s="10"/>
      <c r="BN327" s="10"/>
      <c r="BO327" s="10"/>
      <c r="BP327" s="10"/>
      <c r="BQ327" s="10"/>
      <c r="BR327" s="10"/>
      <c r="BS327" s="10"/>
      <c r="BT327" s="10"/>
      <c r="BU327" s="10"/>
      <c r="BV327" s="10"/>
      <c r="BW327" s="10"/>
      <c r="BX327" s="10"/>
      <c r="BY327" s="10"/>
      <c r="BZ327" s="10"/>
      <c r="CA327" s="10"/>
      <c r="CB327" s="10"/>
      <c r="CC327" s="10"/>
      <c r="CD327" s="10"/>
      <c r="CE327" s="10"/>
      <c r="CF327" s="10"/>
    </row>
    <row r="328" spans="1:84" x14ac:dyDescent="0.25">
      <c r="A328" s="10"/>
      <c r="B328" s="10"/>
      <c r="C328" s="12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4"/>
      <c r="X328" s="10"/>
      <c r="Y328" s="10"/>
      <c r="Z328" s="10"/>
      <c r="AA328" s="10"/>
      <c r="AB328" s="10"/>
      <c r="AC328" s="10"/>
      <c r="AD328" s="15"/>
      <c r="AE328" s="8"/>
      <c r="AF328" s="10"/>
      <c r="AG328" s="10"/>
      <c r="AH328" s="9"/>
      <c r="AI328" s="9"/>
      <c r="AJ328" s="10"/>
      <c r="AK328" s="16"/>
      <c r="AL328" s="16"/>
      <c r="AM328" s="10"/>
      <c r="AN328" s="10"/>
      <c r="AO328" s="16"/>
      <c r="AP328" s="10"/>
      <c r="AQ328" s="12"/>
      <c r="AR328" s="12"/>
      <c r="AS328" s="10"/>
      <c r="AT328" s="10"/>
      <c r="AU328" s="10"/>
      <c r="AV328" s="10"/>
      <c r="AW328" s="10"/>
      <c r="AX328" s="10"/>
      <c r="AY328" s="10"/>
      <c r="AZ328" s="10"/>
      <c r="BA328" s="10"/>
      <c r="BB328" s="10"/>
      <c r="BC328" s="10"/>
      <c r="BD328" s="10"/>
      <c r="BE328" s="10"/>
      <c r="BF328" s="10"/>
      <c r="BG328" s="10"/>
      <c r="BH328" s="10"/>
      <c r="BI328" s="10"/>
      <c r="BJ328" s="10"/>
      <c r="BK328" s="10"/>
      <c r="BL328" s="10"/>
      <c r="BM328" s="10"/>
      <c r="BN328" s="10"/>
      <c r="BO328" s="10"/>
      <c r="BP328" s="10"/>
      <c r="BQ328" s="10"/>
      <c r="BR328" s="10"/>
      <c r="BS328" s="10"/>
      <c r="BT328" s="10"/>
      <c r="BU328" s="10"/>
      <c r="BV328" s="10"/>
      <c r="BW328" s="10"/>
      <c r="BX328" s="10"/>
      <c r="BY328" s="10"/>
      <c r="BZ328" s="10"/>
      <c r="CA328" s="10"/>
      <c r="CB328" s="10"/>
      <c r="CC328" s="10"/>
      <c r="CD328" s="10"/>
      <c r="CE328" s="10"/>
      <c r="CF328" s="10"/>
    </row>
    <row r="329" spans="1:84" x14ac:dyDescent="0.25">
      <c r="A329" s="10"/>
      <c r="B329" s="10"/>
      <c r="C329" s="12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4"/>
      <c r="X329" s="10"/>
      <c r="Y329" s="10"/>
      <c r="Z329" s="10"/>
      <c r="AA329" s="10"/>
      <c r="AB329" s="10"/>
      <c r="AC329" s="10"/>
      <c r="AD329" s="15"/>
      <c r="AE329" s="8"/>
      <c r="AF329" s="10"/>
      <c r="AG329" s="10"/>
      <c r="AH329" s="9"/>
      <c r="AI329" s="9"/>
      <c r="AJ329" s="10"/>
      <c r="AK329" s="16"/>
      <c r="AL329" s="16"/>
      <c r="AM329" s="10"/>
      <c r="AN329" s="10"/>
      <c r="AO329" s="16"/>
      <c r="AP329" s="10"/>
      <c r="AQ329" s="12"/>
      <c r="AR329" s="12"/>
      <c r="AS329" s="10"/>
      <c r="AT329" s="10"/>
      <c r="AU329" s="10"/>
      <c r="AV329" s="10"/>
      <c r="AW329" s="10"/>
      <c r="AX329" s="10"/>
      <c r="AY329" s="10"/>
      <c r="AZ329" s="10"/>
      <c r="BA329" s="10"/>
      <c r="BB329" s="10"/>
      <c r="BC329" s="10"/>
      <c r="BD329" s="10"/>
      <c r="BE329" s="10"/>
      <c r="BF329" s="10"/>
      <c r="BG329" s="10"/>
      <c r="BH329" s="10"/>
      <c r="BI329" s="10"/>
      <c r="BJ329" s="10"/>
      <c r="BK329" s="10"/>
      <c r="BL329" s="10"/>
      <c r="BM329" s="10"/>
      <c r="BN329" s="10"/>
      <c r="BO329" s="10"/>
      <c r="BP329" s="10"/>
      <c r="BQ329" s="10"/>
      <c r="BR329" s="10"/>
      <c r="BS329" s="10"/>
      <c r="BT329" s="10"/>
      <c r="BU329" s="10"/>
      <c r="BV329" s="10"/>
      <c r="BW329" s="10"/>
      <c r="BX329" s="10"/>
      <c r="BY329" s="10"/>
      <c r="BZ329" s="10"/>
      <c r="CA329" s="10"/>
      <c r="CB329" s="10"/>
      <c r="CC329" s="10"/>
      <c r="CD329" s="10"/>
      <c r="CE329" s="10"/>
      <c r="CF329" s="10"/>
    </row>
    <row r="330" spans="1:84" x14ac:dyDescent="0.25">
      <c r="A330" s="10"/>
      <c r="B330" s="10"/>
      <c r="C330" s="12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4"/>
      <c r="X330" s="10"/>
      <c r="Y330" s="10"/>
      <c r="Z330" s="10"/>
      <c r="AA330" s="10"/>
      <c r="AB330" s="10"/>
      <c r="AC330" s="10"/>
      <c r="AD330" s="15"/>
      <c r="AE330" s="8"/>
      <c r="AF330" s="10"/>
      <c r="AG330" s="10"/>
      <c r="AH330" s="9"/>
      <c r="AI330" s="9"/>
      <c r="AJ330" s="10"/>
      <c r="AK330" s="16"/>
      <c r="AL330" s="16"/>
      <c r="AM330" s="10"/>
      <c r="AN330" s="10"/>
      <c r="AO330" s="16"/>
      <c r="AP330" s="10"/>
      <c r="AQ330" s="12"/>
      <c r="AR330" s="12"/>
      <c r="AS330" s="10"/>
      <c r="AT330" s="10"/>
      <c r="AU330" s="10"/>
      <c r="AV330" s="10"/>
      <c r="AW330" s="10"/>
      <c r="AX330" s="10"/>
      <c r="AY330" s="10"/>
      <c r="AZ330" s="10"/>
      <c r="BA330" s="10"/>
      <c r="BB330" s="10"/>
      <c r="BC330" s="10"/>
      <c r="BD330" s="10"/>
      <c r="BE330" s="10"/>
      <c r="BF330" s="10"/>
      <c r="BG330" s="10"/>
      <c r="BH330" s="10"/>
      <c r="BI330" s="10"/>
      <c r="BJ330" s="10"/>
      <c r="BK330" s="10"/>
      <c r="BL330" s="10"/>
      <c r="BM330" s="10"/>
      <c r="BN330" s="10"/>
      <c r="BO330" s="10"/>
      <c r="BP330" s="10"/>
      <c r="BQ330" s="10"/>
      <c r="BR330" s="10"/>
      <c r="BS330" s="10"/>
      <c r="BT330" s="10"/>
      <c r="BU330" s="10"/>
      <c r="BV330" s="10"/>
      <c r="BW330" s="10"/>
      <c r="BX330" s="10"/>
      <c r="BY330" s="10"/>
      <c r="BZ330" s="10"/>
      <c r="CA330" s="10"/>
      <c r="CB330" s="10"/>
      <c r="CC330" s="10"/>
      <c r="CD330" s="10"/>
      <c r="CE330" s="10"/>
      <c r="CF330" s="10"/>
    </row>
    <row r="331" spans="1:84" x14ac:dyDescent="0.25">
      <c r="A331" s="10"/>
      <c r="B331" s="10"/>
      <c r="C331" s="12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4"/>
      <c r="X331" s="10"/>
      <c r="Y331" s="10"/>
      <c r="Z331" s="10"/>
      <c r="AA331" s="10"/>
      <c r="AB331" s="10"/>
      <c r="AC331" s="10"/>
      <c r="AD331" s="15"/>
      <c r="AE331" s="8"/>
      <c r="AF331" s="10"/>
      <c r="AG331" s="10"/>
      <c r="AH331" s="9"/>
      <c r="AI331" s="9"/>
      <c r="AJ331" s="10"/>
      <c r="AK331" s="16"/>
      <c r="AL331" s="16"/>
      <c r="AM331" s="10"/>
      <c r="AN331" s="10"/>
      <c r="AO331" s="16"/>
      <c r="AP331" s="10"/>
      <c r="AQ331" s="12"/>
      <c r="AR331" s="12"/>
      <c r="AS331" s="10"/>
      <c r="AT331" s="10"/>
      <c r="AU331" s="10"/>
      <c r="AV331" s="10"/>
      <c r="AW331" s="10"/>
      <c r="AX331" s="10"/>
      <c r="AY331" s="10"/>
      <c r="AZ331" s="10"/>
      <c r="BA331" s="10"/>
      <c r="BB331" s="10"/>
      <c r="BC331" s="10"/>
      <c r="BD331" s="10"/>
      <c r="BE331" s="10"/>
      <c r="BF331" s="10"/>
      <c r="BG331" s="10"/>
      <c r="BH331" s="10"/>
      <c r="BI331" s="10"/>
      <c r="BJ331" s="10"/>
      <c r="BK331" s="10"/>
      <c r="BL331" s="10"/>
      <c r="BM331" s="10"/>
      <c r="BN331" s="10"/>
      <c r="BO331" s="10"/>
      <c r="BP331" s="10"/>
      <c r="BQ331" s="10"/>
      <c r="BR331" s="10"/>
      <c r="BS331" s="10"/>
      <c r="BT331" s="10"/>
      <c r="BU331" s="10"/>
      <c r="BV331" s="10"/>
      <c r="BW331" s="10"/>
      <c r="BX331" s="10"/>
      <c r="BY331" s="10"/>
      <c r="BZ331" s="10"/>
      <c r="CA331" s="10"/>
      <c r="CB331" s="10"/>
      <c r="CC331" s="10"/>
      <c r="CD331" s="10"/>
      <c r="CE331" s="10"/>
      <c r="CF331" s="10"/>
    </row>
    <row r="332" spans="1:84" x14ac:dyDescent="0.25">
      <c r="A332" s="10"/>
      <c r="B332" s="10"/>
      <c r="C332" s="12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4"/>
      <c r="X332" s="10"/>
      <c r="Y332" s="10"/>
      <c r="Z332" s="10"/>
      <c r="AA332" s="10"/>
      <c r="AB332" s="10"/>
      <c r="AC332" s="10"/>
      <c r="AD332" s="15"/>
      <c r="AE332" s="8"/>
      <c r="AF332" s="10"/>
      <c r="AG332" s="10"/>
      <c r="AH332" s="9"/>
      <c r="AI332" s="9"/>
      <c r="AJ332" s="10"/>
      <c r="AK332" s="16"/>
      <c r="AL332" s="16"/>
      <c r="AM332" s="10"/>
      <c r="AN332" s="10"/>
      <c r="AO332" s="16"/>
      <c r="AP332" s="10"/>
      <c r="AQ332" s="12"/>
      <c r="AR332" s="12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10"/>
      <c r="BK332" s="10"/>
      <c r="BL332" s="10"/>
      <c r="BM332" s="10"/>
      <c r="BN332" s="10"/>
      <c r="BO332" s="10"/>
      <c r="BP332" s="10"/>
      <c r="BQ332" s="10"/>
      <c r="BR332" s="10"/>
      <c r="BS332" s="10"/>
      <c r="BT332" s="10"/>
      <c r="BU332" s="10"/>
      <c r="BV332" s="10"/>
      <c r="BW332" s="10"/>
      <c r="BX332" s="10"/>
      <c r="BY332" s="10"/>
      <c r="BZ332" s="10"/>
      <c r="CA332" s="10"/>
      <c r="CB332" s="10"/>
      <c r="CC332" s="10"/>
      <c r="CD332" s="10"/>
      <c r="CE332" s="10"/>
      <c r="CF332" s="10"/>
    </row>
    <row r="333" spans="1:84" x14ac:dyDescent="0.25">
      <c r="A333" s="10"/>
      <c r="B333" s="10"/>
      <c r="C333" s="12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4"/>
      <c r="X333" s="10"/>
      <c r="Y333" s="10"/>
      <c r="Z333" s="10"/>
      <c r="AA333" s="10"/>
      <c r="AB333" s="10"/>
      <c r="AC333" s="10"/>
      <c r="AD333" s="15"/>
      <c r="AE333" s="8"/>
      <c r="AF333" s="10"/>
      <c r="AG333" s="10"/>
      <c r="AH333" s="9"/>
      <c r="AI333" s="9"/>
      <c r="AJ333" s="10"/>
      <c r="AK333" s="16"/>
      <c r="AL333" s="16"/>
      <c r="AM333" s="10"/>
      <c r="AN333" s="10"/>
      <c r="AO333" s="16"/>
      <c r="AP333" s="10"/>
      <c r="AQ333" s="12"/>
      <c r="AR333" s="12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10"/>
      <c r="BK333" s="10"/>
      <c r="BL333" s="10"/>
      <c r="BM333" s="10"/>
      <c r="BN333" s="10"/>
      <c r="BO333" s="10"/>
      <c r="BP333" s="10"/>
      <c r="BQ333" s="10"/>
      <c r="BR333" s="10"/>
      <c r="BS333" s="10"/>
      <c r="BT333" s="10"/>
      <c r="BU333" s="10"/>
      <c r="BV333" s="10"/>
      <c r="BW333" s="10"/>
      <c r="BX333" s="10"/>
      <c r="BY333" s="10"/>
      <c r="BZ333" s="10"/>
      <c r="CA333" s="10"/>
      <c r="CB333" s="10"/>
      <c r="CC333" s="10"/>
      <c r="CD333" s="10"/>
      <c r="CE333" s="10"/>
      <c r="CF333" s="10"/>
    </row>
    <row r="334" spans="1:84" x14ac:dyDescent="0.25">
      <c r="A334" s="10"/>
      <c r="B334" s="10"/>
      <c r="C334" s="12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4"/>
      <c r="X334" s="10"/>
      <c r="Y334" s="10"/>
      <c r="Z334" s="10"/>
      <c r="AA334" s="10"/>
      <c r="AB334" s="10"/>
      <c r="AC334" s="10"/>
      <c r="AD334" s="15"/>
      <c r="AE334" s="8"/>
      <c r="AF334" s="10"/>
      <c r="AG334" s="10"/>
      <c r="AH334" s="9"/>
      <c r="AI334" s="9"/>
      <c r="AJ334" s="10"/>
      <c r="AK334" s="16"/>
      <c r="AL334" s="16"/>
      <c r="AM334" s="10"/>
      <c r="AN334" s="10"/>
      <c r="AO334" s="16"/>
      <c r="AP334" s="10"/>
      <c r="AQ334" s="12"/>
      <c r="AR334" s="12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10"/>
      <c r="BK334" s="10"/>
      <c r="BL334" s="10"/>
      <c r="BM334" s="10"/>
      <c r="BN334" s="10"/>
      <c r="BO334" s="10"/>
      <c r="BP334" s="10"/>
      <c r="BQ334" s="10"/>
      <c r="BR334" s="10"/>
      <c r="BS334" s="10"/>
      <c r="BT334" s="10"/>
      <c r="BU334" s="10"/>
      <c r="BV334" s="10"/>
      <c r="BW334" s="10"/>
      <c r="BX334" s="10"/>
      <c r="BY334" s="10"/>
      <c r="BZ334" s="10"/>
      <c r="CA334" s="10"/>
      <c r="CB334" s="10"/>
      <c r="CC334" s="10"/>
      <c r="CD334" s="10"/>
      <c r="CE334" s="10"/>
      <c r="CF334" s="10"/>
    </row>
    <row r="335" spans="1:84" x14ac:dyDescent="0.25">
      <c r="A335" s="10"/>
      <c r="B335" s="10"/>
      <c r="C335" s="12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4"/>
      <c r="X335" s="10"/>
      <c r="Y335" s="10"/>
      <c r="Z335" s="10"/>
      <c r="AA335" s="10"/>
      <c r="AB335" s="10"/>
      <c r="AC335" s="10"/>
      <c r="AD335" s="15"/>
      <c r="AE335" s="8"/>
      <c r="AF335" s="10"/>
      <c r="AG335" s="10"/>
      <c r="AH335" s="9"/>
      <c r="AI335" s="9"/>
      <c r="AJ335" s="10"/>
      <c r="AK335" s="16"/>
      <c r="AL335" s="16"/>
      <c r="AM335" s="10"/>
      <c r="AN335" s="10"/>
      <c r="AO335" s="16"/>
      <c r="AP335" s="10"/>
      <c r="AQ335" s="12"/>
      <c r="AR335" s="12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10"/>
      <c r="BK335" s="10"/>
      <c r="BL335" s="10"/>
      <c r="BM335" s="10"/>
      <c r="BN335" s="10"/>
      <c r="BO335" s="10"/>
      <c r="BP335" s="10"/>
      <c r="BQ335" s="10"/>
      <c r="BR335" s="10"/>
      <c r="BS335" s="10"/>
      <c r="BT335" s="10"/>
      <c r="BU335" s="10"/>
      <c r="BV335" s="10"/>
      <c r="BW335" s="10"/>
      <c r="BX335" s="10"/>
      <c r="BY335" s="10"/>
      <c r="BZ335" s="10"/>
      <c r="CA335" s="10"/>
      <c r="CB335" s="10"/>
      <c r="CC335" s="10"/>
      <c r="CD335" s="10"/>
      <c r="CE335" s="10"/>
      <c r="CF335" s="10"/>
    </row>
    <row r="336" spans="1:84" x14ac:dyDescent="0.25">
      <c r="A336" s="10"/>
      <c r="B336" s="10"/>
      <c r="C336" s="12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4"/>
      <c r="X336" s="10"/>
      <c r="Y336" s="10"/>
      <c r="Z336" s="10"/>
      <c r="AA336" s="10"/>
      <c r="AB336" s="10"/>
      <c r="AC336" s="10"/>
      <c r="AD336" s="15"/>
      <c r="AE336" s="8"/>
      <c r="AF336" s="10"/>
      <c r="AG336" s="10"/>
      <c r="AH336" s="9"/>
      <c r="AI336" s="9"/>
      <c r="AJ336" s="10"/>
      <c r="AK336" s="16"/>
      <c r="AL336" s="16"/>
      <c r="AM336" s="10"/>
      <c r="AN336" s="10"/>
      <c r="AO336" s="16"/>
      <c r="AP336" s="10"/>
      <c r="AQ336" s="12"/>
      <c r="AR336" s="12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10"/>
      <c r="BK336" s="10"/>
      <c r="BL336" s="10"/>
      <c r="BM336" s="10"/>
      <c r="BN336" s="10"/>
      <c r="BO336" s="10"/>
      <c r="BP336" s="10"/>
      <c r="BQ336" s="10"/>
      <c r="BR336" s="10"/>
      <c r="BS336" s="10"/>
      <c r="BT336" s="10"/>
      <c r="BU336" s="10"/>
      <c r="BV336" s="10"/>
      <c r="BW336" s="10"/>
      <c r="BX336" s="10"/>
      <c r="BY336" s="10"/>
      <c r="BZ336" s="10"/>
      <c r="CA336" s="10"/>
      <c r="CB336" s="10"/>
      <c r="CC336" s="10"/>
      <c r="CD336" s="10"/>
      <c r="CE336" s="10"/>
      <c r="CF336" s="10"/>
    </row>
    <row r="337" spans="1:84" x14ac:dyDescent="0.25">
      <c r="A337" s="10"/>
      <c r="B337" s="10"/>
      <c r="C337" s="12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4"/>
      <c r="X337" s="10"/>
      <c r="Y337" s="10"/>
      <c r="Z337" s="10"/>
      <c r="AA337" s="10"/>
      <c r="AB337" s="10"/>
      <c r="AC337" s="10"/>
      <c r="AD337" s="15"/>
      <c r="AE337" s="8"/>
      <c r="AF337" s="10"/>
      <c r="AG337" s="10"/>
      <c r="AH337" s="9"/>
      <c r="AI337" s="9"/>
      <c r="AJ337" s="10"/>
      <c r="AK337" s="16"/>
      <c r="AL337" s="16"/>
      <c r="AM337" s="10"/>
      <c r="AN337" s="10"/>
      <c r="AO337" s="16"/>
      <c r="AP337" s="10"/>
      <c r="AQ337" s="12"/>
      <c r="AR337" s="12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10"/>
      <c r="BK337" s="10"/>
      <c r="BL337" s="10"/>
      <c r="BM337" s="10"/>
      <c r="BN337" s="10"/>
      <c r="BO337" s="10"/>
      <c r="BP337" s="10"/>
      <c r="BQ337" s="10"/>
      <c r="BR337" s="10"/>
      <c r="BS337" s="10"/>
      <c r="BT337" s="10"/>
      <c r="BU337" s="10"/>
      <c r="BV337" s="10"/>
      <c r="BW337" s="10"/>
      <c r="BX337" s="10"/>
      <c r="BY337" s="10"/>
      <c r="BZ337" s="10"/>
      <c r="CA337" s="10"/>
      <c r="CB337" s="10"/>
      <c r="CC337" s="10"/>
      <c r="CD337" s="10"/>
      <c r="CE337" s="10"/>
      <c r="CF337" s="10"/>
    </row>
    <row r="338" spans="1:84" x14ac:dyDescent="0.25">
      <c r="A338" s="10"/>
      <c r="B338" s="10"/>
      <c r="C338" s="12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4"/>
      <c r="X338" s="10"/>
      <c r="Y338" s="10"/>
      <c r="Z338" s="10"/>
      <c r="AA338" s="10"/>
      <c r="AB338" s="10"/>
      <c r="AC338" s="10"/>
      <c r="AD338" s="15"/>
      <c r="AE338" s="8"/>
      <c r="AF338" s="10"/>
      <c r="AG338" s="10"/>
      <c r="AH338" s="9"/>
      <c r="AI338" s="9"/>
      <c r="AJ338" s="10"/>
      <c r="AK338" s="16"/>
      <c r="AL338" s="16"/>
      <c r="AM338" s="10"/>
      <c r="AN338" s="10"/>
      <c r="AO338" s="16"/>
      <c r="AP338" s="10"/>
      <c r="AQ338" s="12"/>
      <c r="AR338" s="12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10"/>
      <c r="BK338" s="10"/>
      <c r="BL338" s="10"/>
      <c r="BM338" s="10"/>
      <c r="BN338" s="10"/>
      <c r="BO338" s="10"/>
      <c r="BP338" s="10"/>
      <c r="BQ338" s="10"/>
      <c r="BR338" s="10"/>
      <c r="BS338" s="10"/>
      <c r="BT338" s="10"/>
      <c r="BU338" s="10"/>
      <c r="BV338" s="10"/>
      <c r="BW338" s="10"/>
      <c r="BX338" s="10"/>
      <c r="BY338" s="10"/>
      <c r="BZ338" s="10"/>
      <c r="CA338" s="10"/>
      <c r="CB338" s="10"/>
      <c r="CC338" s="10"/>
      <c r="CD338" s="10"/>
      <c r="CE338" s="10"/>
      <c r="CF338" s="10"/>
    </row>
    <row r="339" spans="1:84" x14ac:dyDescent="0.25">
      <c r="A339" s="10"/>
      <c r="B339" s="10"/>
      <c r="C339" s="12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4"/>
      <c r="X339" s="10"/>
      <c r="Y339" s="10"/>
      <c r="Z339" s="10"/>
      <c r="AA339" s="10"/>
      <c r="AB339" s="10"/>
      <c r="AC339" s="10"/>
      <c r="AD339" s="15"/>
      <c r="AE339" s="8"/>
      <c r="AF339" s="10"/>
      <c r="AG339" s="10"/>
      <c r="AH339" s="9"/>
      <c r="AI339" s="9"/>
      <c r="AJ339" s="10"/>
      <c r="AK339" s="16"/>
      <c r="AL339" s="16"/>
      <c r="AM339" s="10"/>
      <c r="AN339" s="10"/>
      <c r="AO339" s="16"/>
      <c r="AP339" s="10"/>
      <c r="AQ339" s="12"/>
      <c r="AR339" s="12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10"/>
      <c r="BK339" s="10"/>
      <c r="BL339" s="10"/>
      <c r="BM339" s="10"/>
      <c r="BN339" s="10"/>
      <c r="BO339" s="10"/>
      <c r="BP339" s="10"/>
      <c r="BQ339" s="10"/>
      <c r="BR339" s="10"/>
      <c r="BS339" s="10"/>
      <c r="BT339" s="10"/>
      <c r="BU339" s="10"/>
      <c r="BV339" s="10"/>
      <c r="BW339" s="10"/>
      <c r="BX339" s="10"/>
      <c r="BY339" s="10"/>
      <c r="BZ339" s="10"/>
      <c r="CA339" s="10"/>
      <c r="CB339" s="10"/>
      <c r="CC339" s="10"/>
      <c r="CD339" s="10"/>
      <c r="CE339" s="10"/>
      <c r="CF339" s="10"/>
    </row>
    <row r="340" spans="1:84" x14ac:dyDescent="0.25">
      <c r="A340" s="10"/>
      <c r="B340" s="10"/>
      <c r="C340" s="12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4"/>
      <c r="X340" s="10"/>
      <c r="Y340" s="10"/>
      <c r="Z340" s="10"/>
      <c r="AA340" s="10"/>
      <c r="AB340" s="10"/>
      <c r="AC340" s="10"/>
      <c r="AD340" s="15"/>
      <c r="AE340" s="8"/>
      <c r="AF340" s="10"/>
      <c r="AG340" s="10"/>
      <c r="AH340" s="9"/>
      <c r="AI340" s="9"/>
      <c r="AJ340" s="10"/>
      <c r="AK340" s="16"/>
      <c r="AL340" s="16"/>
      <c r="AM340" s="10"/>
      <c r="AN340" s="10"/>
      <c r="AO340" s="16"/>
      <c r="AP340" s="10"/>
      <c r="AQ340" s="12"/>
      <c r="AR340" s="12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10"/>
      <c r="BK340" s="10"/>
      <c r="BL340" s="10"/>
      <c r="BM340" s="10"/>
      <c r="BN340" s="10"/>
      <c r="BO340" s="10"/>
      <c r="BP340" s="10"/>
      <c r="BQ340" s="10"/>
      <c r="BR340" s="10"/>
      <c r="BS340" s="10"/>
      <c r="BT340" s="10"/>
      <c r="BU340" s="10"/>
      <c r="BV340" s="10"/>
      <c r="BW340" s="10"/>
      <c r="BX340" s="10"/>
      <c r="BY340" s="10"/>
      <c r="BZ340" s="10"/>
      <c r="CA340" s="10"/>
      <c r="CB340" s="10"/>
      <c r="CC340" s="10"/>
      <c r="CD340" s="10"/>
      <c r="CE340" s="10"/>
      <c r="CF340" s="10"/>
    </row>
    <row r="341" spans="1:84" x14ac:dyDescent="0.25">
      <c r="A341" s="10"/>
      <c r="B341" s="10"/>
      <c r="C341" s="12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4"/>
      <c r="X341" s="10"/>
      <c r="Y341" s="10"/>
      <c r="Z341" s="10"/>
      <c r="AA341" s="10"/>
      <c r="AB341" s="10"/>
      <c r="AC341" s="10"/>
      <c r="AD341" s="15"/>
      <c r="AE341" s="8"/>
      <c r="AF341" s="10"/>
      <c r="AG341" s="10"/>
      <c r="AH341" s="9"/>
      <c r="AI341" s="9"/>
      <c r="AJ341" s="10"/>
      <c r="AK341" s="16"/>
      <c r="AL341" s="16"/>
      <c r="AM341" s="10"/>
      <c r="AN341" s="10"/>
      <c r="AO341" s="16"/>
      <c r="AP341" s="10"/>
      <c r="AQ341" s="12"/>
      <c r="AR341" s="12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10"/>
      <c r="BK341" s="10"/>
      <c r="BL341" s="10"/>
      <c r="BM341" s="10"/>
      <c r="BN341" s="10"/>
      <c r="BO341" s="10"/>
      <c r="BP341" s="10"/>
      <c r="BQ341" s="10"/>
      <c r="BR341" s="10"/>
      <c r="BS341" s="10"/>
      <c r="BT341" s="10"/>
      <c r="BU341" s="10"/>
      <c r="BV341" s="10"/>
      <c r="BW341" s="10"/>
      <c r="BX341" s="10"/>
      <c r="BY341" s="10"/>
      <c r="BZ341" s="10"/>
      <c r="CA341" s="10"/>
      <c r="CB341" s="10"/>
      <c r="CC341" s="10"/>
      <c r="CD341" s="10"/>
      <c r="CE341" s="10"/>
      <c r="CF341" s="10"/>
    </row>
    <row r="342" spans="1:84" x14ac:dyDescent="0.25">
      <c r="A342" s="10"/>
      <c r="B342" s="10"/>
      <c r="C342" s="12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4"/>
      <c r="X342" s="10"/>
      <c r="Y342" s="10"/>
      <c r="Z342" s="10"/>
      <c r="AA342" s="10"/>
      <c r="AB342" s="10"/>
      <c r="AC342" s="10"/>
      <c r="AD342" s="15"/>
      <c r="AE342" s="8"/>
      <c r="AF342" s="10"/>
      <c r="AG342" s="10"/>
      <c r="AH342" s="9"/>
      <c r="AI342" s="9"/>
      <c r="AJ342" s="10"/>
      <c r="AK342" s="16"/>
      <c r="AL342" s="16"/>
      <c r="AM342" s="10"/>
      <c r="AN342" s="10"/>
      <c r="AO342" s="16"/>
      <c r="AP342" s="10"/>
      <c r="AQ342" s="12"/>
      <c r="AR342" s="12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10"/>
      <c r="BK342" s="10"/>
      <c r="BL342" s="10"/>
      <c r="BM342" s="10"/>
      <c r="BN342" s="10"/>
      <c r="BO342" s="10"/>
      <c r="BP342" s="10"/>
      <c r="BQ342" s="10"/>
      <c r="BR342" s="10"/>
      <c r="BS342" s="10"/>
      <c r="BT342" s="10"/>
      <c r="BU342" s="10"/>
      <c r="BV342" s="10"/>
      <c r="BW342" s="10"/>
      <c r="BX342" s="10"/>
      <c r="BY342" s="10"/>
      <c r="BZ342" s="10"/>
      <c r="CA342" s="10"/>
      <c r="CB342" s="10"/>
      <c r="CC342" s="10"/>
      <c r="CD342" s="10"/>
      <c r="CE342" s="10"/>
      <c r="CF342" s="10"/>
    </row>
    <row r="343" spans="1:84" x14ac:dyDescent="0.25">
      <c r="A343" s="10"/>
      <c r="B343" s="10"/>
      <c r="C343" s="12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4"/>
      <c r="X343" s="10"/>
      <c r="Y343" s="10"/>
      <c r="Z343" s="10"/>
      <c r="AA343" s="10"/>
      <c r="AB343" s="10"/>
      <c r="AC343" s="10"/>
      <c r="AD343" s="15"/>
      <c r="AE343" s="8"/>
      <c r="AF343" s="10"/>
      <c r="AG343" s="10"/>
      <c r="AH343" s="9"/>
      <c r="AI343" s="9"/>
      <c r="AJ343" s="10"/>
      <c r="AK343" s="16"/>
      <c r="AL343" s="16"/>
      <c r="AM343" s="10"/>
      <c r="AN343" s="10"/>
      <c r="AO343" s="16"/>
      <c r="AP343" s="10"/>
      <c r="AQ343" s="12"/>
      <c r="AR343" s="12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10"/>
      <c r="BK343" s="10"/>
      <c r="BL343" s="10"/>
      <c r="BM343" s="10"/>
      <c r="BN343" s="10"/>
      <c r="BO343" s="10"/>
      <c r="BP343" s="10"/>
      <c r="BQ343" s="10"/>
      <c r="BR343" s="10"/>
      <c r="BS343" s="10"/>
      <c r="BT343" s="10"/>
      <c r="BU343" s="10"/>
      <c r="BV343" s="10"/>
      <c r="BW343" s="10"/>
      <c r="BX343" s="10"/>
      <c r="BY343" s="10"/>
      <c r="BZ343" s="10"/>
      <c r="CA343" s="10"/>
      <c r="CB343" s="10"/>
      <c r="CC343" s="10"/>
      <c r="CD343" s="10"/>
      <c r="CE343" s="10"/>
      <c r="CF343" s="10"/>
    </row>
    <row r="344" spans="1:84" x14ac:dyDescent="0.25">
      <c r="A344" s="10"/>
      <c r="B344" s="10"/>
      <c r="C344" s="12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4"/>
      <c r="X344" s="10"/>
      <c r="Y344" s="10"/>
      <c r="Z344" s="10"/>
      <c r="AA344" s="10"/>
      <c r="AB344" s="10"/>
      <c r="AC344" s="10"/>
      <c r="AD344" s="15"/>
      <c r="AE344" s="8"/>
      <c r="AF344" s="10"/>
      <c r="AG344" s="10"/>
      <c r="AH344" s="9"/>
      <c r="AI344" s="9"/>
      <c r="AJ344" s="10"/>
      <c r="AK344" s="16"/>
      <c r="AL344" s="16"/>
      <c r="AM344" s="10"/>
      <c r="AN344" s="10"/>
      <c r="AO344" s="16"/>
      <c r="AP344" s="10"/>
      <c r="AQ344" s="12"/>
      <c r="AR344" s="12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10"/>
      <c r="BK344" s="10"/>
      <c r="BL344" s="10"/>
      <c r="BM344" s="10"/>
      <c r="BN344" s="10"/>
      <c r="BO344" s="10"/>
      <c r="BP344" s="10"/>
      <c r="BQ344" s="10"/>
      <c r="BR344" s="10"/>
      <c r="BS344" s="10"/>
      <c r="BT344" s="10"/>
      <c r="BU344" s="10"/>
      <c r="BV344" s="10"/>
      <c r="BW344" s="10"/>
      <c r="BX344" s="10"/>
      <c r="BY344" s="10"/>
      <c r="BZ344" s="10"/>
      <c r="CA344" s="10"/>
      <c r="CB344" s="10"/>
      <c r="CC344" s="10"/>
      <c r="CD344" s="10"/>
      <c r="CE344" s="10"/>
      <c r="CF344" s="10"/>
    </row>
    <row r="345" spans="1:84" x14ac:dyDescent="0.25">
      <c r="A345" s="10"/>
      <c r="B345" s="10"/>
      <c r="C345" s="12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4"/>
      <c r="X345" s="10"/>
      <c r="Y345" s="10"/>
      <c r="Z345" s="10"/>
      <c r="AA345" s="10"/>
      <c r="AB345" s="10"/>
      <c r="AC345" s="10"/>
      <c r="AD345" s="15"/>
      <c r="AE345" s="8"/>
      <c r="AF345" s="10"/>
      <c r="AG345" s="10"/>
      <c r="AH345" s="9"/>
      <c r="AI345" s="9"/>
      <c r="AJ345" s="10"/>
      <c r="AK345" s="16"/>
      <c r="AL345" s="16"/>
      <c r="AM345" s="10"/>
      <c r="AN345" s="10"/>
      <c r="AO345" s="16"/>
      <c r="AP345" s="10"/>
      <c r="AQ345" s="12"/>
      <c r="AR345" s="12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10"/>
      <c r="BK345" s="10"/>
      <c r="BL345" s="10"/>
      <c r="BM345" s="10"/>
      <c r="BN345" s="10"/>
      <c r="BO345" s="10"/>
      <c r="BP345" s="10"/>
      <c r="BQ345" s="10"/>
      <c r="BR345" s="10"/>
      <c r="BS345" s="10"/>
      <c r="BT345" s="10"/>
      <c r="BU345" s="10"/>
      <c r="BV345" s="10"/>
      <c r="BW345" s="10"/>
      <c r="BX345" s="10"/>
      <c r="BY345" s="10"/>
      <c r="BZ345" s="10"/>
      <c r="CA345" s="10"/>
      <c r="CB345" s="10"/>
      <c r="CC345" s="10"/>
      <c r="CD345" s="10"/>
      <c r="CE345" s="10"/>
      <c r="CF345" s="10"/>
    </row>
    <row r="346" spans="1:84" x14ac:dyDescent="0.25">
      <c r="A346" s="10"/>
      <c r="B346" s="10"/>
      <c r="C346" s="12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4"/>
      <c r="X346" s="10"/>
      <c r="Y346" s="10"/>
      <c r="Z346" s="10"/>
      <c r="AA346" s="10"/>
      <c r="AB346" s="10"/>
      <c r="AC346" s="10"/>
      <c r="AD346" s="15"/>
      <c r="AE346" s="8"/>
      <c r="AF346" s="10"/>
      <c r="AG346" s="10"/>
      <c r="AH346" s="9"/>
      <c r="AI346" s="9"/>
      <c r="AJ346" s="10"/>
      <c r="AK346" s="16"/>
      <c r="AL346" s="16"/>
      <c r="AM346" s="10"/>
      <c r="AN346" s="10"/>
      <c r="AO346" s="16"/>
      <c r="AP346" s="10"/>
      <c r="AQ346" s="12"/>
      <c r="AR346" s="12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10"/>
      <c r="BK346" s="10"/>
      <c r="BL346" s="10"/>
      <c r="BM346" s="10"/>
      <c r="BN346" s="10"/>
      <c r="BO346" s="10"/>
      <c r="BP346" s="10"/>
      <c r="BQ346" s="10"/>
      <c r="BR346" s="10"/>
      <c r="BS346" s="10"/>
      <c r="BT346" s="10"/>
      <c r="BU346" s="10"/>
      <c r="BV346" s="10"/>
      <c r="BW346" s="10"/>
      <c r="BX346" s="10"/>
      <c r="BY346" s="10"/>
      <c r="BZ346" s="10"/>
      <c r="CA346" s="10"/>
      <c r="CB346" s="10"/>
      <c r="CC346" s="10"/>
      <c r="CD346" s="10"/>
      <c r="CE346" s="10"/>
      <c r="CF346" s="10"/>
    </row>
    <row r="347" spans="1:84" x14ac:dyDescent="0.25">
      <c r="A347" s="10"/>
      <c r="B347" s="10"/>
      <c r="C347" s="12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4"/>
      <c r="X347" s="10"/>
      <c r="Y347" s="10"/>
      <c r="Z347" s="10"/>
      <c r="AA347" s="10"/>
      <c r="AB347" s="10"/>
      <c r="AC347" s="10"/>
      <c r="AD347" s="15"/>
      <c r="AE347" s="8"/>
      <c r="AF347" s="10"/>
      <c r="AG347" s="10"/>
      <c r="AH347" s="9"/>
      <c r="AI347" s="9"/>
      <c r="AJ347" s="10"/>
      <c r="AK347" s="16"/>
      <c r="AL347" s="16"/>
      <c r="AM347" s="10"/>
      <c r="AN347" s="10"/>
      <c r="AO347" s="16"/>
      <c r="AP347" s="10"/>
      <c r="AQ347" s="12"/>
      <c r="AR347" s="12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10"/>
      <c r="BK347" s="10"/>
      <c r="BL347" s="10"/>
      <c r="BM347" s="10"/>
      <c r="BN347" s="10"/>
      <c r="BO347" s="10"/>
      <c r="BP347" s="10"/>
      <c r="BQ347" s="10"/>
      <c r="BR347" s="10"/>
      <c r="BS347" s="10"/>
      <c r="BT347" s="10"/>
      <c r="BU347" s="10"/>
      <c r="BV347" s="10"/>
      <c r="BW347" s="10"/>
      <c r="BX347" s="10"/>
      <c r="BY347" s="10"/>
      <c r="BZ347" s="10"/>
      <c r="CA347" s="10"/>
      <c r="CB347" s="10"/>
      <c r="CC347" s="10"/>
      <c r="CD347" s="10"/>
      <c r="CE347" s="10"/>
      <c r="CF347" s="10"/>
    </row>
    <row r="348" spans="1:84" x14ac:dyDescent="0.25">
      <c r="A348" s="10"/>
      <c r="B348" s="10"/>
      <c r="C348" s="12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4"/>
      <c r="X348" s="10"/>
      <c r="Y348" s="10"/>
      <c r="Z348" s="10"/>
      <c r="AA348" s="10"/>
      <c r="AB348" s="10"/>
      <c r="AC348" s="10"/>
      <c r="AD348" s="15"/>
      <c r="AE348" s="8"/>
      <c r="AF348" s="10"/>
      <c r="AG348" s="10"/>
      <c r="AH348" s="9"/>
      <c r="AI348" s="9"/>
      <c r="AJ348" s="10"/>
      <c r="AK348" s="16"/>
      <c r="AL348" s="16"/>
      <c r="AM348" s="10"/>
      <c r="AN348" s="10"/>
      <c r="AO348" s="16"/>
      <c r="AP348" s="10"/>
      <c r="AQ348" s="12"/>
      <c r="AR348" s="12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10"/>
      <c r="BK348" s="10"/>
      <c r="BL348" s="10"/>
      <c r="BM348" s="10"/>
      <c r="BN348" s="10"/>
      <c r="BO348" s="10"/>
      <c r="BP348" s="10"/>
      <c r="BQ348" s="10"/>
      <c r="BR348" s="10"/>
      <c r="BS348" s="10"/>
      <c r="BT348" s="10"/>
      <c r="BU348" s="10"/>
      <c r="BV348" s="10"/>
      <c r="BW348" s="10"/>
      <c r="BX348" s="10"/>
      <c r="BY348" s="10"/>
      <c r="BZ348" s="10"/>
      <c r="CA348" s="10"/>
      <c r="CB348" s="10"/>
      <c r="CC348" s="10"/>
      <c r="CD348" s="10"/>
      <c r="CE348" s="10"/>
      <c r="CF348" s="10"/>
    </row>
    <row r="349" spans="1:84" x14ac:dyDescent="0.25">
      <c r="A349" s="10"/>
      <c r="B349" s="10"/>
      <c r="C349" s="12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4"/>
      <c r="X349" s="10"/>
      <c r="Y349" s="10"/>
      <c r="Z349" s="10"/>
      <c r="AA349" s="10"/>
      <c r="AB349" s="10"/>
      <c r="AC349" s="10"/>
      <c r="AD349" s="15"/>
      <c r="AE349" s="8"/>
      <c r="AF349" s="10"/>
      <c r="AG349" s="10"/>
      <c r="AH349" s="9"/>
      <c r="AI349" s="9"/>
      <c r="AJ349" s="10"/>
      <c r="AK349" s="16"/>
      <c r="AL349" s="16"/>
      <c r="AM349" s="10"/>
      <c r="AN349" s="10"/>
      <c r="AO349" s="16"/>
      <c r="AP349" s="10"/>
      <c r="AQ349" s="12"/>
      <c r="AR349" s="12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10"/>
      <c r="BK349" s="10"/>
      <c r="BL349" s="10"/>
      <c r="BM349" s="10"/>
      <c r="BN349" s="10"/>
      <c r="BO349" s="10"/>
      <c r="BP349" s="10"/>
      <c r="BQ349" s="10"/>
      <c r="BR349" s="10"/>
      <c r="BS349" s="10"/>
      <c r="BT349" s="10"/>
      <c r="BU349" s="10"/>
      <c r="BV349" s="10"/>
      <c r="BW349" s="10"/>
      <c r="BX349" s="10"/>
      <c r="BY349" s="10"/>
      <c r="BZ349" s="10"/>
      <c r="CA349" s="10"/>
      <c r="CB349" s="10"/>
      <c r="CC349" s="10"/>
      <c r="CD349" s="10"/>
      <c r="CE349" s="10"/>
      <c r="CF349" s="10"/>
    </row>
    <row r="350" spans="1:84" x14ac:dyDescent="0.25">
      <c r="A350" s="10"/>
      <c r="B350" s="10"/>
      <c r="C350" s="12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4"/>
      <c r="X350" s="10"/>
      <c r="Y350" s="10"/>
      <c r="Z350" s="10"/>
      <c r="AA350" s="10"/>
      <c r="AB350" s="10"/>
      <c r="AC350" s="10"/>
      <c r="AD350" s="15"/>
      <c r="AE350" s="8"/>
      <c r="AF350" s="10"/>
      <c r="AG350" s="10"/>
      <c r="AH350" s="9"/>
      <c r="AI350" s="9"/>
      <c r="AJ350" s="10"/>
      <c r="AK350" s="16"/>
      <c r="AL350" s="16"/>
      <c r="AM350" s="10"/>
      <c r="AN350" s="10"/>
      <c r="AO350" s="16"/>
      <c r="AP350" s="10"/>
      <c r="AQ350" s="12"/>
      <c r="AR350" s="12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10"/>
      <c r="BK350" s="10"/>
      <c r="BL350" s="10"/>
      <c r="BM350" s="10"/>
      <c r="BN350" s="10"/>
      <c r="BO350" s="10"/>
      <c r="BP350" s="10"/>
      <c r="BQ350" s="10"/>
      <c r="BR350" s="10"/>
      <c r="BS350" s="10"/>
      <c r="BT350" s="10"/>
      <c r="BU350" s="10"/>
      <c r="BV350" s="10"/>
      <c r="BW350" s="10"/>
      <c r="BX350" s="10"/>
      <c r="BY350" s="10"/>
      <c r="BZ350" s="10"/>
      <c r="CA350" s="10"/>
      <c r="CB350" s="10"/>
      <c r="CC350" s="10"/>
      <c r="CD350" s="10"/>
      <c r="CE350" s="10"/>
      <c r="CF350" s="10"/>
    </row>
    <row r="351" spans="1:84" x14ac:dyDescent="0.25">
      <c r="A351" s="10"/>
      <c r="B351" s="10"/>
      <c r="C351" s="12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4"/>
      <c r="X351" s="10"/>
      <c r="Y351" s="10"/>
      <c r="Z351" s="10"/>
      <c r="AA351" s="10"/>
      <c r="AB351" s="10"/>
      <c r="AC351" s="10"/>
      <c r="AD351" s="15"/>
      <c r="AE351" s="8"/>
      <c r="AF351" s="10"/>
      <c r="AG351" s="10"/>
      <c r="AH351" s="9"/>
      <c r="AI351" s="9"/>
      <c r="AJ351" s="10"/>
      <c r="AK351" s="16"/>
      <c r="AL351" s="16"/>
      <c r="AM351" s="10"/>
      <c r="AN351" s="10"/>
      <c r="AO351" s="16"/>
      <c r="AP351" s="10"/>
      <c r="AQ351" s="12"/>
      <c r="AR351" s="12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10"/>
      <c r="BK351" s="10"/>
      <c r="BL351" s="10"/>
      <c r="BM351" s="10"/>
      <c r="BN351" s="10"/>
      <c r="BO351" s="10"/>
      <c r="BP351" s="10"/>
      <c r="BQ351" s="10"/>
      <c r="BR351" s="10"/>
      <c r="BS351" s="10"/>
      <c r="BT351" s="10"/>
      <c r="BU351" s="10"/>
      <c r="BV351" s="10"/>
      <c r="BW351" s="10"/>
      <c r="BX351" s="10"/>
      <c r="BY351" s="10"/>
      <c r="BZ351" s="10"/>
      <c r="CA351" s="10"/>
      <c r="CB351" s="10"/>
      <c r="CC351" s="10"/>
      <c r="CD351" s="10"/>
      <c r="CE351" s="10"/>
      <c r="CF351" s="10"/>
    </row>
    <row r="352" spans="1:84" x14ac:dyDescent="0.25">
      <c r="A352" s="10"/>
      <c r="B352" s="10"/>
      <c r="C352" s="12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4"/>
      <c r="X352" s="10"/>
      <c r="Y352" s="10"/>
      <c r="Z352" s="10"/>
      <c r="AA352" s="10"/>
      <c r="AB352" s="10"/>
      <c r="AC352" s="10"/>
      <c r="AD352" s="15"/>
      <c r="AE352" s="8"/>
      <c r="AF352" s="10"/>
      <c r="AG352" s="10"/>
      <c r="AH352" s="9"/>
      <c r="AI352" s="9"/>
      <c r="AJ352" s="10"/>
      <c r="AK352" s="16"/>
      <c r="AL352" s="16"/>
      <c r="AM352" s="10"/>
      <c r="AN352" s="10"/>
      <c r="AO352" s="16"/>
      <c r="AP352" s="10"/>
      <c r="AQ352" s="12"/>
      <c r="AR352" s="12"/>
      <c r="AS352" s="10"/>
      <c r="AT352" s="10"/>
      <c r="AU352" s="10"/>
      <c r="AV352" s="10"/>
      <c r="AW352" s="10"/>
      <c r="AX352" s="10"/>
      <c r="AY352" s="10"/>
      <c r="AZ352" s="10"/>
      <c r="BA352" s="10"/>
      <c r="BB352" s="10"/>
      <c r="BC352" s="10"/>
      <c r="BD352" s="10"/>
      <c r="BE352" s="10"/>
      <c r="BF352" s="10"/>
      <c r="BG352" s="10"/>
      <c r="BH352" s="10"/>
      <c r="BI352" s="10"/>
      <c r="BJ352" s="10"/>
      <c r="BK352" s="10"/>
      <c r="BL352" s="10"/>
      <c r="BM352" s="10"/>
      <c r="BN352" s="10"/>
      <c r="BO352" s="10"/>
      <c r="BP352" s="10"/>
      <c r="BQ352" s="10"/>
      <c r="BR352" s="10"/>
      <c r="BS352" s="10"/>
      <c r="BT352" s="10"/>
      <c r="BU352" s="10"/>
      <c r="BV352" s="10"/>
      <c r="BW352" s="10"/>
      <c r="BX352" s="10"/>
      <c r="BY352" s="10"/>
      <c r="BZ352" s="10"/>
      <c r="CA352" s="10"/>
      <c r="CB352" s="10"/>
      <c r="CC352" s="10"/>
      <c r="CD352" s="10"/>
      <c r="CE352" s="10"/>
      <c r="CF352" s="10"/>
    </row>
    <row r="353" spans="1:84" x14ac:dyDescent="0.25">
      <c r="A353" s="10"/>
      <c r="B353" s="10"/>
      <c r="C353" s="12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4"/>
      <c r="X353" s="10"/>
      <c r="Y353" s="10"/>
      <c r="Z353" s="10"/>
      <c r="AA353" s="10"/>
      <c r="AB353" s="10"/>
      <c r="AC353" s="10"/>
      <c r="AD353" s="15"/>
      <c r="AE353" s="8"/>
      <c r="AF353" s="10"/>
      <c r="AG353" s="10"/>
      <c r="AH353" s="9"/>
      <c r="AI353" s="9"/>
      <c r="AJ353" s="10"/>
      <c r="AK353" s="16"/>
      <c r="AL353" s="16"/>
      <c r="AM353" s="10"/>
      <c r="AN353" s="10"/>
      <c r="AO353" s="16"/>
      <c r="AP353" s="10"/>
      <c r="AQ353" s="12"/>
      <c r="AR353" s="12"/>
      <c r="AS353" s="10"/>
      <c r="AT353" s="10"/>
      <c r="AU353" s="10"/>
      <c r="AV353" s="10"/>
      <c r="AW353" s="10"/>
      <c r="AX353" s="10"/>
      <c r="AY353" s="10"/>
      <c r="AZ353" s="10"/>
      <c r="BA353" s="10"/>
      <c r="BB353" s="10"/>
      <c r="BC353" s="10"/>
      <c r="BD353" s="10"/>
      <c r="BE353" s="10"/>
      <c r="BF353" s="10"/>
      <c r="BG353" s="10"/>
      <c r="BH353" s="10"/>
      <c r="BI353" s="10"/>
      <c r="BJ353" s="10"/>
      <c r="BK353" s="10"/>
      <c r="BL353" s="10"/>
      <c r="BM353" s="10"/>
      <c r="BN353" s="10"/>
      <c r="BO353" s="10"/>
      <c r="BP353" s="10"/>
      <c r="BQ353" s="10"/>
      <c r="BR353" s="10"/>
      <c r="BS353" s="10"/>
      <c r="BT353" s="10"/>
      <c r="BU353" s="10"/>
      <c r="BV353" s="10"/>
      <c r="BW353" s="10"/>
      <c r="BX353" s="10"/>
      <c r="BY353" s="10"/>
      <c r="BZ353" s="10"/>
      <c r="CA353" s="10"/>
      <c r="CB353" s="10"/>
      <c r="CC353" s="10"/>
      <c r="CD353" s="10"/>
      <c r="CE353" s="10"/>
      <c r="CF353" s="10"/>
    </row>
    <row r="354" spans="1:84" x14ac:dyDescent="0.25">
      <c r="A354" s="10"/>
      <c r="B354" s="10"/>
      <c r="C354" s="12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4"/>
      <c r="X354" s="10"/>
      <c r="Y354" s="10"/>
      <c r="Z354" s="10"/>
      <c r="AA354" s="10"/>
      <c r="AB354" s="10"/>
      <c r="AC354" s="10"/>
      <c r="AD354" s="15"/>
      <c r="AE354" s="8"/>
      <c r="AF354" s="10"/>
      <c r="AG354" s="10"/>
      <c r="AH354" s="9"/>
      <c r="AI354" s="9"/>
      <c r="AJ354" s="10"/>
      <c r="AK354" s="16"/>
      <c r="AL354" s="16"/>
      <c r="AM354" s="10"/>
      <c r="AN354" s="10"/>
      <c r="AO354" s="16"/>
      <c r="AP354" s="10"/>
      <c r="AQ354" s="12"/>
      <c r="AR354" s="12"/>
      <c r="AS354" s="10"/>
      <c r="AT354" s="10"/>
      <c r="AU354" s="10"/>
      <c r="AV354" s="10"/>
      <c r="AW354" s="10"/>
      <c r="AX354" s="10"/>
      <c r="AY354" s="10"/>
      <c r="AZ354" s="10"/>
      <c r="BA354" s="10"/>
      <c r="BB354" s="10"/>
      <c r="BC354" s="10"/>
      <c r="BD354" s="10"/>
      <c r="BE354" s="10"/>
      <c r="BF354" s="10"/>
      <c r="BG354" s="10"/>
      <c r="BH354" s="10"/>
      <c r="BI354" s="10"/>
      <c r="BJ354" s="10"/>
      <c r="BK354" s="10"/>
      <c r="BL354" s="10"/>
      <c r="BM354" s="10"/>
      <c r="BN354" s="10"/>
      <c r="BO354" s="10"/>
      <c r="BP354" s="10"/>
      <c r="BQ354" s="10"/>
      <c r="BR354" s="10"/>
      <c r="BS354" s="10"/>
      <c r="BT354" s="10"/>
      <c r="BU354" s="10"/>
      <c r="BV354" s="10"/>
      <c r="BW354" s="10"/>
      <c r="BX354" s="10"/>
      <c r="BY354" s="10"/>
      <c r="BZ354" s="10"/>
      <c r="CA354" s="10"/>
      <c r="CB354" s="10"/>
      <c r="CC354" s="10"/>
      <c r="CD354" s="10"/>
      <c r="CE354" s="10"/>
      <c r="CF354" s="10"/>
    </row>
    <row r="355" spans="1:84" x14ac:dyDescent="0.25">
      <c r="A355" s="10"/>
      <c r="B355" s="10"/>
      <c r="C355" s="12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4"/>
      <c r="X355" s="10"/>
      <c r="Y355" s="10"/>
      <c r="Z355" s="10"/>
      <c r="AA355" s="10"/>
      <c r="AB355" s="10"/>
      <c r="AC355" s="10"/>
      <c r="AD355" s="15"/>
      <c r="AE355" s="8"/>
      <c r="AF355" s="10"/>
      <c r="AG355" s="10"/>
      <c r="AH355" s="9"/>
      <c r="AI355" s="9"/>
      <c r="AJ355" s="10"/>
      <c r="AK355" s="16"/>
      <c r="AL355" s="16"/>
      <c r="AM355" s="10"/>
      <c r="AN355" s="10"/>
      <c r="AO355" s="16"/>
      <c r="AP355" s="10"/>
      <c r="AQ355" s="12"/>
      <c r="AR355" s="12"/>
      <c r="AS355" s="10"/>
      <c r="AT355" s="10"/>
      <c r="AU355" s="10"/>
      <c r="AV355" s="10"/>
      <c r="AW355" s="10"/>
      <c r="AX355" s="10"/>
      <c r="AY355" s="10"/>
      <c r="AZ355" s="10"/>
      <c r="BA355" s="10"/>
      <c r="BB355" s="10"/>
      <c r="BC355" s="10"/>
      <c r="BD355" s="10"/>
      <c r="BE355" s="10"/>
      <c r="BF355" s="10"/>
      <c r="BG355" s="10"/>
      <c r="BH355" s="10"/>
      <c r="BI355" s="10"/>
      <c r="BJ355" s="10"/>
      <c r="BK355" s="10"/>
      <c r="BL355" s="10"/>
      <c r="BM355" s="10"/>
      <c r="BN355" s="10"/>
      <c r="BO355" s="10"/>
      <c r="BP355" s="10"/>
      <c r="BQ355" s="10"/>
      <c r="BR355" s="10"/>
      <c r="BS355" s="10"/>
      <c r="BT355" s="10"/>
      <c r="BU355" s="10"/>
      <c r="BV355" s="10"/>
      <c r="BW355" s="10"/>
      <c r="BX355" s="10"/>
      <c r="BY355" s="10"/>
      <c r="BZ355" s="10"/>
      <c r="CA355" s="10"/>
      <c r="CB355" s="10"/>
      <c r="CC355" s="10"/>
      <c r="CD355" s="10"/>
      <c r="CE355" s="10"/>
      <c r="CF355" s="10"/>
    </row>
    <row r="356" spans="1:84" x14ac:dyDescent="0.25">
      <c r="A356" s="10"/>
      <c r="B356" s="10"/>
      <c r="C356" s="12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4"/>
      <c r="X356" s="10"/>
      <c r="Y356" s="10"/>
      <c r="Z356" s="10"/>
      <c r="AA356" s="10"/>
      <c r="AB356" s="10"/>
      <c r="AC356" s="10"/>
      <c r="AD356" s="15"/>
      <c r="AE356" s="8"/>
      <c r="AF356" s="10"/>
      <c r="AG356" s="10"/>
      <c r="AH356" s="9"/>
      <c r="AI356" s="9"/>
      <c r="AJ356" s="10"/>
      <c r="AK356" s="16"/>
      <c r="AL356" s="16"/>
      <c r="AM356" s="10"/>
      <c r="AN356" s="10"/>
      <c r="AO356" s="16"/>
      <c r="AP356" s="10"/>
      <c r="AQ356" s="12"/>
      <c r="AR356" s="12"/>
      <c r="AS356" s="10"/>
      <c r="AT356" s="10"/>
      <c r="AU356" s="10"/>
      <c r="AV356" s="10"/>
      <c r="AW356" s="10"/>
      <c r="AX356" s="10"/>
      <c r="AY356" s="10"/>
      <c r="AZ356" s="10"/>
      <c r="BA356" s="10"/>
      <c r="BB356" s="10"/>
      <c r="BC356" s="10"/>
      <c r="BD356" s="10"/>
      <c r="BE356" s="10"/>
      <c r="BF356" s="10"/>
      <c r="BG356" s="10"/>
      <c r="BH356" s="10"/>
      <c r="BI356" s="10"/>
      <c r="BJ356" s="10"/>
      <c r="BK356" s="10"/>
      <c r="BL356" s="10"/>
      <c r="BM356" s="10"/>
      <c r="BN356" s="10"/>
      <c r="BO356" s="10"/>
      <c r="BP356" s="10"/>
      <c r="BQ356" s="10"/>
      <c r="BR356" s="10"/>
      <c r="BS356" s="10"/>
      <c r="BT356" s="10"/>
      <c r="BU356" s="10"/>
      <c r="BV356" s="10"/>
      <c r="BW356" s="10"/>
      <c r="BX356" s="10"/>
      <c r="BY356" s="10"/>
      <c r="BZ356" s="10"/>
      <c r="CA356" s="10"/>
      <c r="CB356" s="10"/>
      <c r="CC356" s="10"/>
      <c r="CD356" s="10"/>
      <c r="CE356" s="10"/>
      <c r="CF356" s="10"/>
    </row>
    <row r="357" spans="1:84" x14ac:dyDescent="0.25">
      <c r="A357" s="10"/>
      <c r="B357" s="10"/>
      <c r="C357" s="12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4"/>
      <c r="X357" s="10"/>
      <c r="Y357" s="10"/>
      <c r="Z357" s="10"/>
      <c r="AA357" s="10"/>
      <c r="AB357" s="10"/>
      <c r="AC357" s="10"/>
      <c r="AD357" s="15"/>
      <c r="AE357" s="8"/>
      <c r="AF357" s="10"/>
      <c r="AG357" s="10"/>
      <c r="AH357" s="9"/>
      <c r="AI357" s="9"/>
      <c r="AJ357" s="10"/>
      <c r="AK357" s="16"/>
      <c r="AL357" s="16"/>
      <c r="AM357" s="10"/>
      <c r="AN357" s="10"/>
      <c r="AO357" s="16"/>
      <c r="AP357" s="10"/>
      <c r="AQ357" s="12"/>
      <c r="AR357" s="12"/>
      <c r="AS357" s="10"/>
      <c r="AT357" s="10"/>
      <c r="AU357" s="10"/>
      <c r="AV357" s="10"/>
      <c r="AW357" s="10"/>
      <c r="AX357" s="10"/>
      <c r="AY357" s="10"/>
      <c r="AZ357" s="10"/>
      <c r="BA357" s="10"/>
      <c r="BB357" s="10"/>
      <c r="BC357" s="10"/>
      <c r="BD357" s="10"/>
      <c r="BE357" s="10"/>
      <c r="BF357" s="10"/>
      <c r="BG357" s="10"/>
      <c r="BH357" s="10"/>
      <c r="BI357" s="10"/>
      <c r="BJ357" s="10"/>
      <c r="BK357" s="10"/>
      <c r="BL357" s="10"/>
      <c r="BM357" s="10"/>
      <c r="BN357" s="10"/>
      <c r="BO357" s="10"/>
      <c r="BP357" s="10"/>
      <c r="BQ357" s="10"/>
      <c r="BR357" s="10"/>
      <c r="BS357" s="10"/>
      <c r="BT357" s="10"/>
      <c r="BU357" s="10"/>
      <c r="BV357" s="10"/>
      <c r="BW357" s="10"/>
      <c r="BX357" s="10"/>
      <c r="BY357" s="10"/>
      <c r="BZ357" s="10"/>
      <c r="CA357" s="10"/>
      <c r="CB357" s="10"/>
      <c r="CC357" s="10"/>
      <c r="CD357" s="10"/>
      <c r="CE357" s="10"/>
      <c r="CF357" s="10"/>
    </row>
    <row r="358" spans="1:84" x14ac:dyDescent="0.25">
      <c r="A358" s="10"/>
      <c r="B358" s="10"/>
      <c r="C358" s="12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4"/>
      <c r="X358" s="10"/>
      <c r="Y358" s="10"/>
      <c r="Z358" s="10"/>
      <c r="AA358" s="10"/>
      <c r="AB358" s="10"/>
      <c r="AC358" s="10"/>
      <c r="AD358" s="15"/>
      <c r="AE358" s="8"/>
      <c r="AF358" s="10"/>
      <c r="AG358" s="10"/>
      <c r="AH358" s="9"/>
      <c r="AI358" s="9"/>
      <c r="AJ358" s="10"/>
      <c r="AK358" s="16"/>
      <c r="AL358" s="16"/>
      <c r="AM358" s="10"/>
      <c r="AN358" s="10"/>
      <c r="AO358" s="16"/>
      <c r="AP358" s="10"/>
      <c r="AQ358" s="12"/>
      <c r="AR358" s="12"/>
      <c r="AS358" s="10"/>
      <c r="AT358" s="10"/>
      <c r="AU358" s="10"/>
      <c r="AV358" s="10"/>
      <c r="AW358" s="10"/>
      <c r="AX358" s="10"/>
      <c r="AY358" s="10"/>
      <c r="AZ358" s="10"/>
      <c r="BA358" s="10"/>
      <c r="BB358" s="10"/>
      <c r="BC358" s="10"/>
      <c r="BD358" s="10"/>
      <c r="BE358" s="10"/>
      <c r="BF358" s="10"/>
      <c r="BG358" s="10"/>
      <c r="BH358" s="10"/>
      <c r="BI358" s="10"/>
      <c r="BJ358" s="10"/>
      <c r="BK358" s="10"/>
      <c r="BL358" s="10"/>
      <c r="BM358" s="10"/>
      <c r="BN358" s="10"/>
      <c r="BO358" s="10"/>
      <c r="BP358" s="10"/>
      <c r="BQ358" s="10"/>
      <c r="BR358" s="10"/>
      <c r="BS358" s="10"/>
      <c r="BT358" s="10"/>
      <c r="BU358" s="10"/>
      <c r="BV358" s="10"/>
      <c r="BW358" s="10"/>
      <c r="BX358" s="10"/>
      <c r="BY358" s="10"/>
      <c r="BZ358" s="10"/>
      <c r="CA358" s="10"/>
      <c r="CB358" s="10"/>
      <c r="CC358" s="10"/>
      <c r="CD358" s="10"/>
      <c r="CE358" s="10"/>
      <c r="CF358" s="10"/>
    </row>
    <row r="359" spans="1:84" x14ac:dyDescent="0.25">
      <c r="A359" s="10"/>
      <c r="B359" s="10"/>
      <c r="C359" s="12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4"/>
      <c r="X359" s="10"/>
      <c r="Y359" s="10"/>
      <c r="Z359" s="10"/>
      <c r="AA359" s="10"/>
      <c r="AB359" s="10"/>
      <c r="AC359" s="10"/>
      <c r="AD359" s="15"/>
      <c r="AE359" s="8"/>
      <c r="AF359" s="10"/>
      <c r="AG359" s="10"/>
      <c r="AH359" s="9"/>
      <c r="AI359" s="9"/>
      <c r="AJ359" s="10"/>
      <c r="AK359" s="16"/>
      <c r="AL359" s="16"/>
      <c r="AM359" s="10"/>
      <c r="AN359" s="10"/>
      <c r="AO359" s="16"/>
      <c r="AP359" s="10"/>
      <c r="AQ359" s="12"/>
      <c r="AR359" s="12"/>
      <c r="AS359" s="10"/>
      <c r="AT359" s="10"/>
      <c r="AU359" s="10"/>
      <c r="AV359" s="10"/>
      <c r="AW359" s="10"/>
      <c r="AX359" s="10"/>
      <c r="AY359" s="10"/>
      <c r="AZ359" s="10"/>
      <c r="BA359" s="10"/>
      <c r="BB359" s="10"/>
      <c r="BC359" s="10"/>
      <c r="BD359" s="10"/>
      <c r="BE359" s="10"/>
      <c r="BF359" s="10"/>
      <c r="BG359" s="10"/>
      <c r="BH359" s="10"/>
      <c r="BI359" s="10"/>
      <c r="BJ359" s="10"/>
      <c r="BK359" s="10"/>
      <c r="BL359" s="10"/>
      <c r="BM359" s="10"/>
      <c r="BN359" s="10"/>
      <c r="BO359" s="10"/>
      <c r="BP359" s="10"/>
      <c r="BQ359" s="10"/>
      <c r="BR359" s="10"/>
      <c r="BS359" s="10"/>
      <c r="BT359" s="10"/>
      <c r="BU359" s="10"/>
      <c r="BV359" s="10"/>
      <c r="BW359" s="10"/>
      <c r="BX359" s="10"/>
      <c r="BY359" s="10"/>
      <c r="BZ359" s="10"/>
      <c r="CA359" s="10"/>
      <c r="CB359" s="10"/>
      <c r="CC359" s="10"/>
      <c r="CD359" s="10"/>
      <c r="CE359" s="10"/>
      <c r="CF359" s="10"/>
    </row>
    <row r="360" spans="1:84" x14ac:dyDescent="0.25">
      <c r="A360" s="10"/>
      <c r="B360" s="10"/>
      <c r="C360" s="12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4"/>
      <c r="X360" s="10"/>
      <c r="Y360" s="10"/>
      <c r="Z360" s="10"/>
      <c r="AA360" s="10"/>
      <c r="AB360" s="10"/>
      <c r="AC360" s="10"/>
      <c r="AD360" s="15"/>
      <c r="AE360" s="8"/>
      <c r="AF360" s="10"/>
      <c r="AG360" s="10"/>
      <c r="AH360" s="9"/>
      <c r="AI360" s="9"/>
      <c r="AJ360" s="10"/>
      <c r="AK360" s="16"/>
      <c r="AL360" s="16"/>
      <c r="AM360" s="10"/>
      <c r="AN360" s="10"/>
      <c r="AO360" s="16"/>
      <c r="AP360" s="10"/>
      <c r="AQ360" s="12"/>
      <c r="AR360" s="12"/>
      <c r="AS360" s="10"/>
      <c r="AT360" s="10"/>
      <c r="AU360" s="10"/>
      <c r="AV360" s="10"/>
      <c r="AW360" s="10"/>
      <c r="AX360" s="10"/>
      <c r="AY360" s="10"/>
      <c r="AZ360" s="10"/>
      <c r="BA360" s="10"/>
      <c r="BB360" s="10"/>
      <c r="BC360" s="10"/>
      <c r="BD360" s="10"/>
      <c r="BE360" s="10"/>
      <c r="BF360" s="10"/>
      <c r="BG360" s="10"/>
      <c r="BH360" s="10"/>
      <c r="BI360" s="10"/>
      <c r="BJ360" s="10"/>
      <c r="BK360" s="10"/>
      <c r="BL360" s="10"/>
      <c r="BM360" s="10"/>
      <c r="BN360" s="10"/>
      <c r="BO360" s="10"/>
      <c r="BP360" s="10"/>
      <c r="BQ360" s="10"/>
      <c r="BR360" s="10"/>
      <c r="BS360" s="10"/>
      <c r="BT360" s="10"/>
      <c r="BU360" s="10"/>
      <c r="BV360" s="10"/>
      <c r="BW360" s="10"/>
      <c r="BX360" s="10"/>
      <c r="BY360" s="10"/>
      <c r="BZ360" s="10"/>
      <c r="CA360" s="10"/>
      <c r="CB360" s="10"/>
      <c r="CC360" s="10"/>
      <c r="CD360" s="10"/>
      <c r="CE360" s="10"/>
      <c r="CF360" s="10"/>
    </row>
    <row r="361" spans="1:84" x14ac:dyDescent="0.25">
      <c r="A361" s="10"/>
      <c r="B361" s="10"/>
      <c r="C361" s="12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4"/>
      <c r="X361" s="10"/>
      <c r="Y361" s="10"/>
      <c r="Z361" s="10"/>
      <c r="AA361" s="10"/>
      <c r="AB361" s="10"/>
      <c r="AC361" s="10"/>
      <c r="AD361" s="15"/>
      <c r="AE361" s="8"/>
      <c r="AF361" s="10"/>
      <c r="AG361" s="10"/>
      <c r="AH361" s="9"/>
      <c r="AI361" s="9"/>
      <c r="AJ361" s="10"/>
      <c r="AK361" s="16"/>
      <c r="AL361" s="16"/>
      <c r="AM361" s="10"/>
      <c r="AN361" s="10"/>
      <c r="AO361" s="16"/>
      <c r="AP361" s="10"/>
      <c r="AQ361" s="12"/>
      <c r="AR361" s="12"/>
      <c r="AS361" s="10"/>
      <c r="AT361" s="10"/>
      <c r="AU361" s="10"/>
      <c r="AV361" s="10"/>
      <c r="AW361" s="10"/>
      <c r="AX361" s="10"/>
      <c r="AY361" s="10"/>
      <c r="AZ361" s="10"/>
      <c r="BA361" s="10"/>
      <c r="BB361" s="10"/>
      <c r="BC361" s="10"/>
      <c r="BD361" s="10"/>
      <c r="BE361" s="10"/>
      <c r="BF361" s="10"/>
      <c r="BG361" s="10"/>
      <c r="BH361" s="10"/>
      <c r="BI361" s="10"/>
      <c r="BJ361" s="10"/>
      <c r="BK361" s="10"/>
      <c r="BL361" s="10"/>
      <c r="BM361" s="10"/>
      <c r="BN361" s="10"/>
      <c r="BO361" s="10"/>
      <c r="BP361" s="10"/>
      <c r="BQ361" s="10"/>
      <c r="BR361" s="10"/>
      <c r="BS361" s="10"/>
      <c r="BT361" s="10"/>
      <c r="BU361" s="10"/>
      <c r="BV361" s="10"/>
      <c r="BW361" s="10"/>
      <c r="BX361" s="10"/>
      <c r="BY361" s="10"/>
      <c r="BZ361" s="10"/>
      <c r="CA361" s="10"/>
      <c r="CB361" s="10"/>
      <c r="CC361" s="10"/>
      <c r="CD361" s="10"/>
      <c r="CE361" s="10"/>
      <c r="CF361" s="10"/>
    </row>
    <row r="362" spans="1:84" x14ac:dyDescent="0.25">
      <c r="A362" s="10"/>
      <c r="B362" s="10"/>
      <c r="C362" s="12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4"/>
      <c r="X362" s="10"/>
      <c r="Y362" s="10"/>
      <c r="Z362" s="10"/>
      <c r="AA362" s="10"/>
      <c r="AB362" s="10"/>
      <c r="AC362" s="10"/>
      <c r="AD362" s="15"/>
      <c r="AE362" s="8"/>
      <c r="AF362" s="10"/>
      <c r="AG362" s="10"/>
      <c r="AH362" s="9"/>
      <c r="AI362" s="9"/>
      <c r="AJ362" s="10"/>
      <c r="AK362" s="16"/>
      <c r="AL362" s="16"/>
      <c r="AM362" s="10"/>
      <c r="AN362" s="10"/>
      <c r="AO362" s="16"/>
      <c r="AP362" s="10"/>
      <c r="AQ362" s="12"/>
      <c r="AR362" s="12"/>
      <c r="AS362" s="10"/>
      <c r="AT362" s="10"/>
      <c r="AU362" s="10"/>
      <c r="AV362" s="10"/>
      <c r="AW362" s="10"/>
      <c r="AX362" s="10"/>
      <c r="AY362" s="10"/>
      <c r="AZ362" s="10"/>
      <c r="BA362" s="10"/>
      <c r="BB362" s="10"/>
      <c r="BC362" s="10"/>
      <c r="BD362" s="10"/>
      <c r="BE362" s="10"/>
      <c r="BF362" s="10"/>
      <c r="BG362" s="10"/>
      <c r="BH362" s="10"/>
      <c r="BI362" s="10"/>
      <c r="BJ362" s="10"/>
      <c r="BK362" s="10"/>
      <c r="BL362" s="10"/>
      <c r="BM362" s="10"/>
      <c r="BN362" s="10"/>
      <c r="BO362" s="10"/>
      <c r="BP362" s="10"/>
      <c r="BQ362" s="10"/>
      <c r="BR362" s="10"/>
      <c r="BS362" s="10"/>
      <c r="BT362" s="10"/>
      <c r="BU362" s="10"/>
      <c r="BV362" s="10"/>
      <c r="BW362" s="10"/>
      <c r="BX362" s="10"/>
      <c r="BY362" s="10"/>
      <c r="BZ362" s="10"/>
      <c r="CA362" s="10"/>
      <c r="CB362" s="10"/>
      <c r="CC362" s="10"/>
      <c r="CD362" s="10"/>
      <c r="CE362" s="10"/>
      <c r="CF362" s="10"/>
    </row>
    <row r="363" spans="1:84" x14ac:dyDescent="0.25">
      <c r="A363" s="10"/>
      <c r="B363" s="10"/>
      <c r="C363" s="12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4"/>
      <c r="X363" s="10"/>
      <c r="Y363" s="10"/>
      <c r="Z363" s="10"/>
      <c r="AA363" s="10"/>
      <c r="AB363" s="10"/>
      <c r="AC363" s="10"/>
      <c r="AD363" s="15"/>
      <c r="AE363" s="8"/>
      <c r="AF363" s="10"/>
      <c r="AG363" s="10"/>
      <c r="AH363" s="9"/>
      <c r="AI363" s="9"/>
      <c r="AJ363" s="10"/>
      <c r="AK363" s="16"/>
      <c r="AL363" s="16"/>
      <c r="AM363" s="10"/>
      <c r="AN363" s="10"/>
      <c r="AO363" s="16"/>
      <c r="AP363" s="10"/>
      <c r="AQ363" s="12"/>
      <c r="AR363" s="12"/>
      <c r="AS363" s="10"/>
      <c r="AT363" s="10"/>
      <c r="AU363" s="10"/>
      <c r="AV363" s="10"/>
      <c r="AW363" s="10"/>
      <c r="AX363" s="10"/>
      <c r="AY363" s="10"/>
      <c r="AZ363" s="10"/>
      <c r="BA363" s="10"/>
      <c r="BB363" s="10"/>
      <c r="BC363" s="10"/>
      <c r="BD363" s="10"/>
      <c r="BE363" s="10"/>
      <c r="BF363" s="10"/>
      <c r="BG363" s="10"/>
      <c r="BH363" s="10"/>
      <c r="BI363" s="10"/>
      <c r="BJ363" s="10"/>
      <c r="BK363" s="10"/>
      <c r="BL363" s="10"/>
      <c r="BM363" s="10"/>
      <c r="BN363" s="10"/>
      <c r="BO363" s="10"/>
      <c r="BP363" s="10"/>
      <c r="BQ363" s="10"/>
      <c r="BR363" s="10"/>
      <c r="BS363" s="10"/>
      <c r="BT363" s="10"/>
      <c r="BU363" s="10"/>
      <c r="BV363" s="10"/>
      <c r="BW363" s="10"/>
      <c r="BX363" s="10"/>
      <c r="BY363" s="10"/>
      <c r="BZ363" s="10"/>
      <c r="CA363" s="10"/>
      <c r="CB363" s="10"/>
      <c r="CC363" s="10"/>
      <c r="CD363" s="10"/>
      <c r="CE363" s="10"/>
      <c r="CF363" s="10"/>
    </row>
    <row r="364" spans="1:84" x14ac:dyDescent="0.25">
      <c r="A364" s="10"/>
      <c r="B364" s="10"/>
      <c r="C364" s="12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4"/>
      <c r="X364" s="10"/>
      <c r="Y364" s="10"/>
      <c r="Z364" s="10"/>
      <c r="AA364" s="10"/>
      <c r="AB364" s="10"/>
      <c r="AC364" s="10"/>
      <c r="AD364" s="15"/>
      <c r="AE364" s="8"/>
      <c r="AF364" s="10"/>
      <c r="AG364" s="10"/>
      <c r="AH364" s="9"/>
      <c r="AI364" s="9"/>
      <c r="AJ364" s="10"/>
      <c r="AK364" s="16"/>
      <c r="AL364" s="16"/>
      <c r="AM364" s="10"/>
      <c r="AN364" s="10"/>
      <c r="AO364" s="16"/>
      <c r="AP364" s="10"/>
      <c r="AQ364" s="12"/>
      <c r="AR364" s="12"/>
      <c r="AS364" s="10"/>
      <c r="AT364" s="10"/>
      <c r="AU364" s="10"/>
      <c r="AV364" s="10"/>
      <c r="AW364" s="10"/>
      <c r="AX364" s="10"/>
      <c r="AY364" s="10"/>
      <c r="AZ364" s="10"/>
      <c r="BA364" s="10"/>
      <c r="BB364" s="10"/>
      <c r="BC364" s="10"/>
      <c r="BD364" s="10"/>
      <c r="BE364" s="10"/>
      <c r="BF364" s="10"/>
      <c r="BG364" s="10"/>
      <c r="BH364" s="10"/>
      <c r="BI364" s="10"/>
      <c r="BJ364" s="10"/>
      <c r="BK364" s="10"/>
      <c r="BL364" s="10"/>
      <c r="BM364" s="10"/>
      <c r="BN364" s="10"/>
      <c r="BO364" s="10"/>
      <c r="BP364" s="10"/>
      <c r="BQ364" s="10"/>
      <c r="BR364" s="10"/>
      <c r="BS364" s="10"/>
      <c r="BT364" s="10"/>
      <c r="BU364" s="10"/>
      <c r="BV364" s="10"/>
      <c r="BW364" s="10"/>
      <c r="BX364" s="10"/>
      <c r="BY364" s="10"/>
      <c r="BZ364" s="10"/>
      <c r="CA364" s="10"/>
      <c r="CB364" s="10"/>
      <c r="CC364" s="10"/>
      <c r="CD364" s="10"/>
      <c r="CE364" s="10"/>
      <c r="CF364" s="10"/>
    </row>
    <row r="365" spans="1:84" x14ac:dyDescent="0.25">
      <c r="A365" s="10"/>
      <c r="B365" s="10"/>
      <c r="C365" s="12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4"/>
      <c r="X365" s="10"/>
      <c r="Y365" s="10"/>
      <c r="Z365" s="10"/>
      <c r="AA365" s="10"/>
      <c r="AB365" s="10"/>
      <c r="AC365" s="10"/>
      <c r="AD365" s="15"/>
      <c r="AE365" s="8"/>
      <c r="AF365" s="10"/>
      <c r="AG365" s="10"/>
      <c r="AH365" s="9"/>
      <c r="AI365" s="9"/>
      <c r="AJ365" s="10"/>
      <c r="AK365" s="16"/>
      <c r="AL365" s="16"/>
      <c r="AM365" s="10"/>
      <c r="AN365" s="10"/>
      <c r="AO365" s="16"/>
      <c r="AP365" s="10"/>
      <c r="AQ365" s="12"/>
      <c r="AR365" s="12"/>
      <c r="AS365" s="10"/>
      <c r="AT365" s="10"/>
      <c r="AU365" s="10"/>
      <c r="AV365" s="10"/>
      <c r="AW365" s="10"/>
      <c r="AX365" s="10"/>
      <c r="AY365" s="10"/>
      <c r="AZ365" s="10"/>
      <c r="BA365" s="10"/>
      <c r="BB365" s="10"/>
      <c r="BC365" s="10"/>
      <c r="BD365" s="10"/>
      <c r="BE365" s="10"/>
      <c r="BF365" s="10"/>
      <c r="BG365" s="10"/>
      <c r="BH365" s="10"/>
      <c r="BI365" s="10"/>
      <c r="BJ365" s="10"/>
      <c r="BK365" s="10"/>
      <c r="BL365" s="10"/>
      <c r="BM365" s="10"/>
      <c r="BN365" s="10"/>
      <c r="BO365" s="10"/>
      <c r="BP365" s="10"/>
      <c r="BQ365" s="10"/>
      <c r="BR365" s="10"/>
      <c r="BS365" s="10"/>
      <c r="BT365" s="10"/>
      <c r="BU365" s="10"/>
      <c r="BV365" s="10"/>
      <c r="BW365" s="10"/>
      <c r="BX365" s="10"/>
      <c r="BY365" s="10"/>
      <c r="BZ365" s="10"/>
      <c r="CA365" s="10"/>
      <c r="CB365" s="10"/>
      <c r="CC365" s="10"/>
      <c r="CD365" s="10"/>
      <c r="CE365" s="10"/>
      <c r="CF365" s="10"/>
    </row>
    <row r="366" spans="1:84" x14ac:dyDescent="0.25">
      <c r="A366" s="10"/>
      <c r="B366" s="10"/>
      <c r="C366" s="12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4"/>
      <c r="X366" s="10"/>
      <c r="Y366" s="10"/>
      <c r="Z366" s="10"/>
      <c r="AA366" s="10"/>
      <c r="AB366" s="10"/>
      <c r="AC366" s="10"/>
      <c r="AD366" s="15"/>
      <c r="AE366" s="8"/>
      <c r="AF366" s="10"/>
      <c r="AG366" s="10"/>
      <c r="AH366" s="9"/>
      <c r="AI366" s="9"/>
      <c r="AJ366" s="10"/>
      <c r="AK366" s="16"/>
      <c r="AL366" s="16"/>
      <c r="AM366" s="10"/>
      <c r="AN366" s="10"/>
      <c r="AO366" s="16"/>
      <c r="AP366" s="10"/>
      <c r="AQ366" s="12"/>
      <c r="AR366" s="12"/>
      <c r="AS366" s="10"/>
      <c r="AT366" s="10"/>
      <c r="AU366" s="10"/>
      <c r="AV366" s="10"/>
      <c r="AW366" s="10"/>
      <c r="AX366" s="10"/>
      <c r="AY366" s="10"/>
      <c r="AZ366" s="10"/>
      <c r="BA366" s="10"/>
      <c r="BB366" s="10"/>
      <c r="BC366" s="10"/>
      <c r="BD366" s="10"/>
      <c r="BE366" s="10"/>
      <c r="BF366" s="10"/>
      <c r="BG366" s="10"/>
      <c r="BH366" s="10"/>
      <c r="BI366" s="10"/>
      <c r="BJ366" s="10"/>
      <c r="BK366" s="10"/>
      <c r="BL366" s="10"/>
      <c r="BM366" s="10"/>
      <c r="BN366" s="10"/>
      <c r="BO366" s="10"/>
      <c r="BP366" s="10"/>
      <c r="BQ366" s="10"/>
      <c r="BR366" s="10"/>
      <c r="BS366" s="10"/>
      <c r="BT366" s="10"/>
      <c r="BU366" s="10"/>
      <c r="BV366" s="10"/>
      <c r="BW366" s="10"/>
      <c r="BX366" s="10"/>
      <c r="BY366" s="10"/>
      <c r="BZ366" s="10"/>
      <c r="CA366" s="10"/>
      <c r="CB366" s="10"/>
      <c r="CC366" s="10"/>
      <c r="CD366" s="10"/>
      <c r="CE366" s="10"/>
      <c r="CF366" s="10"/>
    </row>
    <row r="367" spans="1:84" x14ac:dyDescent="0.25">
      <c r="A367" s="10"/>
      <c r="B367" s="10"/>
      <c r="C367" s="12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4"/>
      <c r="X367" s="10"/>
      <c r="Y367" s="10"/>
      <c r="Z367" s="10"/>
      <c r="AA367" s="10"/>
      <c r="AB367" s="10"/>
      <c r="AC367" s="10"/>
      <c r="AD367" s="15"/>
      <c r="AE367" s="8"/>
      <c r="AF367" s="10"/>
      <c r="AG367" s="10"/>
      <c r="AH367" s="9"/>
      <c r="AI367" s="9"/>
      <c r="AJ367" s="10"/>
      <c r="AK367" s="16"/>
      <c r="AL367" s="16"/>
      <c r="AM367" s="10"/>
      <c r="AN367" s="10"/>
      <c r="AO367" s="16"/>
      <c r="AP367" s="10"/>
      <c r="AQ367" s="12"/>
      <c r="AR367" s="12"/>
      <c r="AS367" s="10"/>
      <c r="AT367" s="10"/>
      <c r="AU367" s="10"/>
      <c r="AV367" s="10"/>
      <c r="AW367" s="10"/>
      <c r="AX367" s="10"/>
      <c r="AY367" s="10"/>
      <c r="AZ367" s="10"/>
      <c r="BA367" s="10"/>
      <c r="BB367" s="10"/>
      <c r="BC367" s="10"/>
      <c r="BD367" s="10"/>
      <c r="BE367" s="10"/>
      <c r="BF367" s="10"/>
      <c r="BG367" s="10"/>
      <c r="BH367" s="10"/>
      <c r="BI367" s="10"/>
      <c r="BJ367" s="10"/>
      <c r="BK367" s="10"/>
      <c r="BL367" s="10"/>
      <c r="BM367" s="10"/>
      <c r="BN367" s="10"/>
      <c r="BO367" s="10"/>
      <c r="BP367" s="10"/>
      <c r="BQ367" s="10"/>
      <c r="BR367" s="10"/>
      <c r="BS367" s="10"/>
      <c r="BT367" s="10"/>
      <c r="BU367" s="10"/>
      <c r="BV367" s="10"/>
      <c r="BW367" s="10"/>
      <c r="BX367" s="10"/>
      <c r="BY367" s="10"/>
      <c r="BZ367" s="10"/>
      <c r="CA367" s="10"/>
      <c r="CB367" s="10"/>
      <c r="CC367" s="10"/>
      <c r="CD367" s="10"/>
      <c r="CE367" s="10"/>
      <c r="CF367" s="10"/>
    </row>
    <row r="368" spans="1:84" x14ac:dyDescent="0.25">
      <c r="A368" s="10"/>
      <c r="B368" s="10"/>
      <c r="C368" s="12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4"/>
      <c r="X368" s="10"/>
      <c r="Y368" s="10"/>
      <c r="Z368" s="10"/>
      <c r="AA368" s="10"/>
      <c r="AB368" s="10"/>
      <c r="AC368" s="10"/>
      <c r="AD368" s="15"/>
      <c r="AE368" s="8"/>
      <c r="AF368" s="10"/>
      <c r="AG368" s="10"/>
      <c r="AH368" s="9"/>
      <c r="AI368" s="9"/>
      <c r="AJ368" s="10"/>
      <c r="AK368" s="16"/>
      <c r="AL368" s="16"/>
      <c r="AM368" s="10"/>
      <c r="AN368" s="10"/>
      <c r="AO368" s="16"/>
      <c r="AP368" s="10"/>
      <c r="AQ368" s="12"/>
      <c r="AR368" s="12"/>
      <c r="AS368" s="10"/>
      <c r="AT368" s="10"/>
      <c r="AU368" s="10"/>
      <c r="AV368" s="10"/>
      <c r="AW368" s="10"/>
      <c r="AX368" s="10"/>
      <c r="AY368" s="10"/>
      <c r="AZ368" s="10"/>
      <c r="BA368" s="10"/>
      <c r="BB368" s="10"/>
      <c r="BC368" s="10"/>
      <c r="BD368" s="10"/>
      <c r="BE368" s="10"/>
      <c r="BF368" s="10"/>
      <c r="BG368" s="10"/>
      <c r="BH368" s="10"/>
      <c r="BI368" s="10"/>
      <c r="BJ368" s="10"/>
      <c r="BK368" s="10"/>
      <c r="BL368" s="10"/>
      <c r="BM368" s="10"/>
      <c r="BN368" s="10"/>
      <c r="BO368" s="10"/>
      <c r="BP368" s="10"/>
      <c r="BQ368" s="10"/>
      <c r="BR368" s="10"/>
      <c r="BS368" s="10"/>
      <c r="BT368" s="10"/>
      <c r="BU368" s="10"/>
      <c r="BV368" s="10"/>
      <c r="BW368" s="10"/>
      <c r="BX368" s="10"/>
      <c r="BY368" s="10"/>
      <c r="BZ368" s="10"/>
      <c r="CA368" s="10"/>
      <c r="CB368" s="10"/>
      <c r="CC368" s="10"/>
      <c r="CD368" s="10"/>
      <c r="CE368" s="10"/>
      <c r="CF368" s="10"/>
    </row>
    <row r="369" spans="1:84" x14ac:dyDescent="0.25">
      <c r="A369" s="10"/>
      <c r="B369" s="10"/>
      <c r="C369" s="12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4"/>
      <c r="X369" s="10"/>
      <c r="Y369" s="10"/>
      <c r="Z369" s="10"/>
      <c r="AA369" s="10"/>
      <c r="AB369" s="10"/>
      <c r="AC369" s="10"/>
      <c r="AD369" s="15"/>
      <c r="AE369" s="8"/>
      <c r="AF369" s="10"/>
      <c r="AG369" s="10"/>
      <c r="AH369" s="9"/>
      <c r="AI369" s="9"/>
      <c r="AJ369" s="10"/>
      <c r="AK369" s="16"/>
      <c r="AL369" s="16"/>
      <c r="AM369" s="10"/>
      <c r="AN369" s="10"/>
      <c r="AO369" s="16"/>
      <c r="AP369" s="10"/>
      <c r="AQ369" s="12"/>
      <c r="AR369" s="12"/>
      <c r="AS369" s="10"/>
      <c r="AT369" s="10"/>
      <c r="AU369" s="10"/>
      <c r="AV369" s="10"/>
      <c r="AW369" s="10"/>
      <c r="AX369" s="10"/>
      <c r="AY369" s="10"/>
      <c r="AZ369" s="10"/>
      <c r="BA369" s="10"/>
      <c r="BB369" s="10"/>
      <c r="BC369" s="10"/>
      <c r="BD369" s="10"/>
      <c r="BE369" s="10"/>
      <c r="BF369" s="10"/>
      <c r="BG369" s="10"/>
      <c r="BH369" s="10"/>
      <c r="BI369" s="10"/>
      <c r="BJ369" s="10"/>
      <c r="BK369" s="10"/>
      <c r="BL369" s="10"/>
      <c r="BM369" s="10"/>
      <c r="BN369" s="10"/>
      <c r="BO369" s="10"/>
      <c r="BP369" s="10"/>
      <c r="BQ369" s="10"/>
      <c r="BR369" s="10"/>
      <c r="BS369" s="10"/>
      <c r="BT369" s="10"/>
      <c r="BU369" s="10"/>
      <c r="BV369" s="10"/>
      <c r="BW369" s="10"/>
      <c r="BX369" s="10"/>
      <c r="BY369" s="10"/>
      <c r="BZ369" s="10"/>
      <c r="CA369" s="10"/>
      <c r="CB369" s="10"/>
      <c r="CC369" s="10"/>
      <c r="CD369" s="10"/>
      <c r="CE369" s="10"/>
      <c r="CF369" s="10"/>
    </row>
    <row r="370" spans="1:84" x14ac:dyDescent="0.25">
      <c r="A370" s="10"/>
      <c r="B370" s="10"/>
      <c r="C370" s="12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4"/>
      <c r="X370" s="10"/>
      <c r="Y370" s="10"/>
      <c r="Z370" s="10"/>
      <c r="AA370" s="10"/>
      <c r="AB370" s="10"/>
      <c r="AC370" s="10"/>
      <c r="AD370" s="15"/>
      <c r="AE370" s="8"/>
      <c r="AF370" s="10"/>
      <c r="AG370" s="10"/>
      <c r="AH370" s="9"/>
      <c r="AI370" s="9"/>
      <c r="AJ370" s="10"/>
      <c r="AK370" s="16"/>
      <c r="AL370" s="16"/>
      <c r="AM370" s="10"/>
      <c r="AN370" s="10"/>
      <c r="AO370" s="16"/>
      <c r="AP370" s="10"/>
      <c r="AQ370" s="12"/>
      <c r="AR370" s="12"/>
      <c r="AS370" s="10"/>
      <c r="AT370" s="10"/>
      <c r="AU370" s="10"/>
      <c r="AV370" s="10"/>
      <c r="AW370" s="10"/>
      <c r="AX370" s="10"/>
      <c r="AY370" s="10"/>
      <c r="AZ370" s="10"/>
      <c r="BA370" s="10"/>
      <c r="BB370" s="10"/>
      <c r="BC370" s="10"/>
      <c r="BD370" s="10"/>
      <c r="BE370" s="10"/>
      <c r="BF370" s="10"/>
      <c r="BG370" s="10"/>
      <c r="BH370" s="10"/>
      <c r="BI370" s="10"/>
      <c r="BJ370" s="10"/>
      <c r="BK370" s="10"/>
      <c r="BL370" s="10"/>
      <c r="BM370" s="10"/>
      <c r="BN370" s="10"/>
      <c r="BO370" s="10"/>
      <c r="BP370" s="10"/>
      <c r="BQ370" s="10"/>
      <c r="BR370" s="10"/>
      <c r="BS370" s="10"/>
      <c r="BT370" s="10"/>
      <c r="BU370" s="10"/>
      <c r="BV370" s="10"/>
      <c r="BW370" s="10"/>
      <c r="BX370" s="10"/>
      <c r="BY370" s="10"/>
      <c r="BZ370" s="10"/>
      <c r="CA370" s="10"/>
      <c r="CB370" s="10"/>
      <c r="CC370" s="10"/>
      <c r="CD370" s="10"/>
      <c r="CE370" s="10"/>
      <c r="CF370" s="10"/>
    </row>
    <row r="371" spans="1:84" x14ac:dyDescent="0.25">
      <c r="A371" s="10"/>
      <c r="B371" s="10"/>
      <c r="C371" s="12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4"/>
      <c r="X371" s="10"/>
      <c r="Y371" s="10"/>
      <c r="Z371" s="10"/>
      <c r="AA371" s="10"/>
      <c r="AB371" s="10"/>
      <c r="AC371" s="10"/>
      <c r="AD371" s="15"/>
      <c r="AE371" s="8"/>
      <c r="AF371" s="10"/>
      <c r="AG371" s="10"/>
      <c r="AH371" s="9"/>
      <c r="AI371" s="9"/>
      <c r="AJ371" s="10"/>
      <c r="AK371" s="16"/>
      <c r="AL371" s="16"/>
      <c r="AM371" s="10"/>
      <c r="AN371" s="10"/>
      <c r="AO371" s="16"/>
      <c r="AP371" s="10"/>
      <c r="AQ371" s="12"/>
      <c r="AR371" s="12"/>
      <c r="AS371" s="10"/>
      <c r="AT371" s="10"/>
      <c r="AU371" s="10"/>
      <c r="AV371" s="10"/>
      <c r="AW371" s="10"/>
      <c r="AX371" s="10"/>
      <c r="AY371" s="10"/>
      <c r="AZ371" s="10"/>
      <c r="BA371" s="10"/>
      <c r="BB371" s="10"/>
      <c r="BC371" s="10"/>
      <c r="BD371" s="10"/>
      <c r="BE371" s="10"/>
      <c r="BF371" s="10"/>
      <c r="BG371" s="10"/>
      <c r="BH371" s="10"/>
      <c r="BI371" s="10"/>
      <c r="BJ371" s="10"/>
      <c r="BK371" s="10"/>
      <c r="BL371" s="10"/>
      <c r="BM371" s="10"/>
      <c r="BN371" s="10"/>
      <c r="BO371" s="10"/>
      <c r="BP371" s="10"/>
      <c r="BQ371" s="10"/>
      <c r="BR371" s="10"/>
      <c r="BS371" s="10"/>
      <c r="BT371" s="10"/>
      <c r="BU371" s="10"/>
      <c r="BV371" s="10"/>
      <c r="BW371" s="10"/>
      <c r="BX371" s="10"/>
      <c r="BY371" s="10"/>
      <c r="BZ371" s="10"/>
      <c r="CA371" s="10"/>
      <c r="CB371" s="10"/>
      <c r="CC371" s="10"/>
      <c r="CD371" s="10"/>
      <c r="CE371" s="10"/>
      <c r="CF371" s="10"/>
    </row>
    <row r="372" spans="1:84" x14ac:dyDescent="0.25">
      <c r="A372" s="10"/>
      <c r="B372" s="10"/>
      <c r="C372" s="12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4"/>
      <c r="X372" s="10"/>
      <c r="Y372" s="10"/>
      <c r="Z372" s="10"/>
      <c r="AA372" s="10"/>
      <c r="AB372" s="10"/>
      <c r="AC372" s="10"/>
      <c r="AD372" s="15"/>
      <c r="AE372" s="8"/>
      <c r="AF372" s="10"/>
      <c r="AG372" s="10"/>
      <c r="AH372" s="9"/>
      <c r="AI372" s="9"/>
      <c r="AJ372" s="10"/>
      <c r="AK372" s="16"/>
      <c r="AL372" s="16"/>
      <c r="AM372" s="10"/>
      <c r="AN372" s="10"/>
      <c r="AO372" s="16"/>
      <c r="AP372" s="10"/>
      <c r="AQ372" s="12"/>
      <c r="AR372" s="12"/>
      <c r="AS372" s="10"/>
      <c r="AT372" s="10"/>
      <c r="AU372" s="10"/>
      <c r="AV372" s="10"/>
      <c r="AW372" s="10"/>
      <c r="AX372" s="10"/>
      <c r="AY372" s="10"/>
      <c r="AZ372" s="10"/>
      <c r="BA372" s="10"/>
      <c r="BB372" s="10"/>
      <c r="BC372" s="10"/>
      <c r="BD372" s="10"/>
      <c r="BE372" s="10"/>
      <c r="BF372" s="10"/>
      <c r="BG372" s="10"/>
      <c r="BH372" s="10"/>
      <c r="BI372" s="10"/>
      <c r="BJ372" s="10"/>
      <c r="BK372" s="10"/>
      <c r="BL372" s="10"/>
      <c r="BM372" s="10"/>
      <c r="BN372" s="10"/>
      <c r="BO372" s="10"/>
      <c r="BP372" s="10"/>
      <c r="BQ372" s="10"/>
      <c r="BR372" s="10"/>
      <c r="BS372" s="10"/>
      <c r="BT372" s="10"/>
      <c r="BU372" s="10"/>
      <c r="BV372" s="10"/>
      <c r="BW372" s="10"/>
      <c r="BX372" s="10"/>
      <c r="BY372" s="10"/>
      <c r="BZ372" s="10"/>
      <c r="CA372" s="10"/>
      <c r="CB372" s="10"/>
      <c r="CC372" s="10"/>
      <c r="CD372" s="10"/>
      <c r="CE372" s="10"/>
      <c r="CF372" s="10"/>
    </row>
    <row r="373" spans="1:84" x14ac:dyDescent="0.25">
      <c r="A373" s="10"/>
      <c r="B373" s="10"/>
      <c r="C373" s="12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4"/>
      <c r="X373" s="10"/>
      <c r="Y373" s="10"/>
      <c r="Z373" s="10"/>
      <c r="AA373" s="10"/>
      <c r="AB373" s="10"/>
      <c r="AC373" s="10"/>
      <c r="AD373" s="15"/>
      <c r="AE373" s="8"/>
      <c r="AF373" s="10"/>
      <c r="AG373" s="10"/>
      <c r="AH373" s="9"/>
      <c r="AI373" s="9"/>
      <c r="AJ373" s="10"/>
      <c r="AK373" s="16"/>
      <c r="AL373" s="16"/>
      <c r="AM373" s="10"/>
      <c r="AN373" s="10"/>
      <c r="AO373" s="16"/>
      <c r="AP373" s="10"/>
      <c r="AQ373" s="12"/>
      <c r="AR373" s="12"/>
      <c r="AS373" s="10"/>
      <c r="AT373" s="10"/>
      <c r="AU373" s="10"/>
      <c r="AV373" s="10"/>
      <c r="AW373" s="10"/>
      <c r="AX373" s="10"/>
      <c r="AY373" s="10"/>
      <c r="AZ373" s="10"/>
      <c r="BA373" s="10"/>
      <c r="BB373" s="10"/>
      <c r="BC373" s="10"/>
      <c r="BD373" s="10"/>
      <c r="BE373" s="10"/>
      <c r="BF373" s="10"/>
      <c r="BG373" s="10"/>
      <c r="BH373" s="10"/>
      <c r="BI373" s="10"/>
      <c r="BJ373" s="10"/>
      <c r="BK373" s="10"/>
      <c r="BL373" s="10"/>
      <c r="BM373" s="10"/>
      <c r="BN373" s="10"/>
      <c r="BO373" s="10"/>
      <c r="BP373" s="10"/>
      <c r="BQ373" s="10"/>
      <c r="BR373" s="10"/>
      <c r="BS373" s="10"/>
      <c r="BT373" s="10"/>
      <c r="BU373" s="10"/>
      <c r="BV373" s="10"/>
      <c r="BW373" s="10"/>
      <c r="BX373" s="10"/>
      <c r="BY373" s="10"/>
      <c r="BZ373" s="10"/>
      <c r="CA373" s="10"/>
      <c r="CB373" s="10"/>
      <c r="CC373" s="10"/>
      <c r="CD373" s="10"/>
      <c r="CE373" s="10"/>
      <c r="CF373" s="10"/>
    </row>
    <row r="374" spans="1:84" x14ac:dyDescent="0.25">
      <c r="A374" s="10"/>
      <c r="B374" s="10"/>
      <c r="C374" s="12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4"/>
      <c r="X374" s="10"/>
      <c r="Y374" s="10"/>
      <c r="Z374" s="10"/>
      <c r="AA374" s="10"/>
      <c r="AB374" s="10"/>
      <c r="AC374" s="10"/>
      <c r="AD374" s="15"/>
      <c r="AE374" s="8"/>
      <c r="AF374" s="10"/>
      <c r="AG374" s="10"/>
      <c r="AH374" s="9"/>
      <c r="AI374" s="9"/>
      <c r="AJ374" s="10"/>
      <c r="AK374" s="16"/>
      <c r="AL374" s="16"/>
      <c r="AM374" s="10"/>
      <c r="AN374" s="10"/>
      <c r="AO374" s="16"/>
      <c r="AP374" s="10"/>
      <c r="AQ374" s="12"/>
      <c r="AR374" s="12"/>
      <c r="AS374" s="10"/>
      <c r="AT374" s="10"/>
      <c r="AU374" s="10"/>
      <c r="AV374" s="10"/>
      <c r="AW374" s="10"/>
      <c r="AX374" s="10"/>
      <c r="AY374" s="10"/>
      <c r="AZ374" s="10"/>
      <c r="BA374" s="10"/>
      <c r="BB374" s="10"/>
      <c r="BC374" s="10"/>
      <c r="BD374" s="10"/>
      <c r="BE374" s="10"/>
      <c r="BF374" s="10"/>
      <c r="BG374" s="10"/>
      <c r="BH374" s="10"/>
      <c r="BI374" s="10"/>
      <c r="BJ374" s="10"/>
      <c r="BK374" s="10"/>
      <c r="BL374" s="10"/>
      <c r="BM374" s="10"/>
      <c r="BN374" s="10"/>
      <c r="BO374" s="10"/>
      <c r="BP374" s="10"/>
      <c r="BQ374" s="10"/>
      <c r="BR374" s="10"/>
      <c r="BS374" s="10"/>
      <c r="BT374" s="10"/>
      <c r="BU374" s="10"/>
      <c r="BV374" s="10"/>
      <c r="BW374" s="10"/>
      <c r="BX374" s="10"/>
      <c r="BY374" s="10"/>
      <c r="BZ374" s="10"/>
      <c r="CA374" s="10"/>
      <c r="CB374" s="10"/>
      <c r="CC374" s="10"/>
      <c r="CD374" s="10"/>
      <c r="CE374" s="10"/>
      <c r="CF374" s="10"/>
    </row>
    <row r="375" spans="1:84" x14ac:dyDescent="0.25">
      <c r="A375" s="10"/>
      <c r="B375" s="10"/>
      <c r="C375" s="12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4"/>
      <c r="X375" s="10"/>
      <c r="Y375" s="10"/>
      <c r="Z375" s="10"/>
      <c r="AA375" s="10"/>
      <c r="AB375" s="10"/>
      <c r="AC375" s="10"/>
      <c r="AD375" s="15"/>
      <c r="AE375" s="8"/>
      <c r="AF375" s="10"/>
      <c r="AG375" s="10"/>
      <c r="AH375" s="9"/>
      <c r="AI375" s="9"/>
      <c r="AJ375" s="10"/>
      <c r="AK375" s="16"/>
      <c r="AL375" s="16"/>
      <c r="AM375" s="10"/>
      <c r="AN375" s="10"/>
      <c r="AO375" s="16"/>
      <c r="AP375" s="10"/>
      <c r="AQ375" s="12"/>
      <c r="AR375" s="12"/>
      <c r="AS375" s="10"/>
      <c r="AT375" s="10"/>
      <c r="AU375" s="10"/>
      <c r="AV375" s="10"/>
      <c r="AW375" s="10"/>
      <c r="AX375" s="10"/>
      <c r="AY375" s="10"/>
      <c r="AZ375" s="10"/>
      <c r="BA375" s="10"/>
      <c r="BB375" s="10"/>
      <c r="BC375" s="10"/>
      <c r="BD375" s="10"/>
      <c r="BE375" s="10"/>
      <c r="BF375" s="10"/>
      <c r="BG375" s="10"/>
      <c r="BH375" s="10"/>
      <c r="BI375" s="10"/>
      <c r="BJ375" s="10"/>
      <c r="BK375" s="10"/>
      <c r="BL375" s="10"/>
      <c r="BM375" s="10"/>
      <c r="BN375" s="10"/>
      <c r="BO375" s="10"/>
      <c r="BP375" s="10"/>
      <c r="BQ375" s="10"/>
      <c r="BR375" s="10"/>
      <c r="BS375" s="10"/>
      <c r="BT375" s="10"/>
      <c r="BU375" s="10"/>
      <c r="BV375" s="10"/>
      <c r="BW375" s="10"/>
      <c r="BX375" s="10"/>
      <c r="BY375" s="10"/>
      <c r="BZ375" s="10"/>
      <c r="CA375" s="10"/>
      <c r="CB375" s="10"/>
      <c r="CC375" s="10"/>
      <c r="CD375" s="10"/>
      <c r="CE375" s="10"/>
      <c r="CF375" s="10"/>
    </row>
    <row r="376" spans="1:84" x14ac:dyDescent="0.25">
      <c r="A376" s="10"/>
      <c r="B376" s="10"/>
      <c r="C376" s="12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4"/>
      <c r="X376" s="10"/>
      <c r="Y376" s="10"/>
      <c r="Z376" s="10"/>
      <c r="AA376" s="10"/>
      <c r="AB376" s="10"/>
      <c r="AC376" s="10"/>
      <c r="AD376" s="15"/>
      <c r="AE376" s="8"/>
      <c r="AF376" s="10"/>
      <c r="AG376" s="10"/>
      <c r="AH376" s="9"/>
      <c r="AI376" s="9"/>
      <c r="AJ376" s="10"/>
      <c r="AK376" s="16"/>
      <c r="AL376" s="16"/>
      <c r="AM376" s="10"/>
      <c r="AN376" s="10"/>
      <c r="AO376" s="16"/>
      <c r="AP376" s="10"/>
      <c r="AQ376" s="12"/>
      <c r="AR376" s="12"/>
      <c r="AS376" s="10"/>
      <c r="AT376" s="10"/>
      <c r="AU376" s="10"/>
      <c r="AV376" s="10"/>
      <c r="AW376" s="10"/>
      <c r="AX376" s="10"/>
      <c r="AY376" s="10"/>
      <c r="AZ376" s="10"/>
      <c r="BA376" s="10"/>
      <c r="BB376" s="10"/>
      <c r="BC376" s="10"/>
      <c r="BD376" s="10"/>
      <c r="BE376" s="10"/>
      <c r="BF376" s="10"/>
      <c r="BG376" s="10"/>
      <c r="BH376" s="10"/>
      <c r="BI376" s="10"/>
      <c r="BJ376" s="10"/>
      <c r="BK376" s="10"/>
      <c r="BL376" s="10"/>
      <c r="BM376" s="10"/>
      <c r="BN376" s="10"/>
      <c r="BO376" s="10"/>
      <c r="BP376" s="10"/>
      <c r="BQ376" s="10"/>
      <c r="BR376" s="10"/>
      <c r="BS376" s="10"/>
      <c r="BT376" s="10"/>
      <c r="BU376" s="10"/>
      <c r="BV376" s="10"/>
      <c r="BW376" s="10"/>
      <c r="BX376" s="10"/>
      <c r="BY376" s="10"/>
      <c r="BZ376" s="10"/>
      <c r="CA376" s="10"/>
      <c r="CB376" s="10"/>
      <c r="CC376" s="10"/>
      <c r="CD376" s="10"/>
      <c r="CE376" s="10"/>
      <c r="CF376" s="10"/>
    </row>
    <row r="377" spans="1:84" x14ac:dyDescent="0.25">
      <c r="A377" s="10"/>
      <c r="B377" s="10"/>
      <c r="C377" s="12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4"/>
      <c r="X377" s="10"/>
      <c r="Y377" s="10"/>
      <c r="Z377" s="10"/>
      <c r="AA377" s="10"/>
      <c r="AB377" s="10"/>
      <c r="AC377" s="10"/>
      <c r="AD377" s="15"/>
      <c r="AE377" s="8"/>
      <c r="AF377" s="10"/>
      <c r="AG377" s="10"/>
      <c r="AH377" s="9"/>
      <c r="AI377" s="9"/>
      <c r="AJ377" s="10"/>
      <c r="AK377" s="16"/>
      <c r="AL377" s="16"/>
      <c r="AM377" s="10"/>
      <c r="AN377" s="10"/>
      <c r="AO377" s="16"/>
      <c r="AP377" s="10"/>
      <c r="AQ377" s="12"/>
      <c r="AR377" s="12"/>
      <c r="AS377" s="10"/>
      <c r="AT377" s="10"/>
      <c r="AU377" s="10"/>
      <c r="AV377" s="10"/>
      <c r="AW377" s="10"/>
      <c r="AX377" s="10"/>
      <c r="AY377" s="10"/>
      <c r="AZ377" s="10"/>
      <c r="BA377" s="10"/>
      <c r="BB377" s="10"/>
      <c r="BC377" s="10"/>
      <c r="BD377" s="10"/>
      <c r="BE377" s="10"/>
      <c r="BF377" s="10"/>
      <c r="BG377" s="10"/>
      <c r="BH377" s="10"/>
      <c r="BI377" s="10"/>
      <c r="BJ377" s="10"/>
      <c r="BK377" s="10"/>
      <c r="BL377" s="10"/>
      <c r="BM377" s="10"/>
      <c r="BN377" s="10"/>
      <c r="BO377" s="10"/>
      <c r="BP377" s="10"/>
      <c r="BQ377" s="10"/>
      <c r="BR377" s="10"/>
      <c r="BS377" s="10"/>
      <c r="BT377" s="10"/>
      <c r="BU377" s="10"/>
      <c r="BV377" s="10"/>
      <c r="BW377" s="10"/>
      <c r="BX377" s="10"/>
      <c r="BY377" s="10"/>
      <c r="BZ377" s="10"/>
      <c r="CA377" s="10"/>
      <c r="CB377" s="10"/>
      <c r="CC377" s="10"/>
      <c r="CD377" s="10"/>
      <c r="CE377" s="10"/>
      <c r="CF377" s="10"/>
    </row>
    <row r="378" spans="1:84" x14ac:dyDescent="0.25">
      <c r="A378" s="10"/>
      <c r="B378" s="10"/>
      <c r="C378" s="12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4"/>
      <c r="X378" s="10"/>
      <c r="Y378" s="10"/>
      <c r="Z378" s="10"/>
      <c r="AA378" s="10"/>
      <c r="AB378" s="10"/>
      <c r="AC378" s="10"/>
      <c r="AD378" s="15"/>
      <c r="AE378" s="8"/>
      <c r="AF378" s="10"/>
      <c r="AG378" s="10"/>
      <c r="AH378" s="9"/>
      <c r="AI378" s="9"/>
      <c r="AJ378" s="10"/>
      <c r="AK378" s="16"/>
      <c r="AL378" s="16"/>
      <c r="AM378" s="10"/>
      <c r="AN378" s="10"/>
      <c r="AO378" s="16"/>
      <c r="AP378" s="10"/>
      <c r="AQ378" s="12"/>
      <c r="AR378" s="12"/>
      <c r="AS378" s="10"/>
      <c r="AT378" s="10"/>
      <c r="AU378" s="10"/>
      <c r="AV378" s="10"/>
      <c r="AW378" s="10"/>
      <c r="AX378" s="10"/>
      <c r="AY378" s="10"/>
      <c r="AZ378" s="10"/>
      <c r="BA378" s="10"/>
      <c r="BB378" s="10"/>
      <c r="BC378" s="10"/>
      <c r="BD378" s="10"/>
      <c r="BE378" s="10"/>
      <c r="BF378" s="10"/>
      <c r="BG378" s="10"/>
      <c r="BH378" s="10"/>
      <c r="BI378" s="10"/>
      <c r="BJ378" s="10"/>
      <c r="BK378" s="10"/>
      <c r="BL378" s="10"/>
      <c r="BM378" s="10"/>
      <c r="BN378" s="10"/>
      <c r="BO378" s="10"/>
      <c r="BP378" s="10"/>
      <c r="BQ378" s="10"/>
      <c r="BR378" s="10"/>
      <c r="BS378" s="10"/>
      <c r="BT378" s="10"/>
      <c r="BU378" s="10"/>
      <c r="BV378" s="10"/>
      <c r="BW378" s="10"/>
      <c r="BX378" s="10"/>
      <c r="BY378" s="10"/>
      <c r="BZ378" s="10"/>
      <c r="CA378" s="10"/>
      <c r="CB378" s="10"/>
      <c r="CC378" s="10"/>
      <c r="CD378" s="10"/>
      <c r="CE378" s="10"/>
      <c r="CF378" s="10"/>
    </row>
    <row r="379" spans="1:84" x14ac:dyDescent="0.25">
      <c r="A379" s="10"/>
      <c r="B379" s="10"/>
      <c r="C379" s="12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4"/>
      <c r="X379" s="10"/>
      <c r="Y379" s="10"/>
      <c r="Z379" s="10"/>
      <c r="AA379" s="10"/>
      <c r="AB379" s="10"/>
      <c r="AC379" s="10"/>
      <c r="AD379" s="15"/>
      <c r="AE379" s="8"/>
      <c r="AF379" s="10"/>
      <c r="AG379" s="10"/>
      <c r="AH379" s="9"/>
      <c r="AI379" s="9"/>
      <c r="AJ379" s="10"/>
      <c r="AK379" s="16"/>
      <c r="AL379" s="16"/>
      <c r="AM379" s="10"/>
      <c r="AN379" s="10"/>
      <c r="AO379" s="16"/>
      <c r="AP379" s="10"/>
      <c r="AQ379" s="12"/>
      <c r="AR379" s="12"/>
      <c r="AS379" s="10"/>
      <c r="AT379" s="10"/>
      <c r="AU379" s="10"/>
      <c r="AV379" s="10"/>
      <c r="AW379" s="10"/>
      <c r="AX379" s="10"/>
      <c r="AY379" s="10"/>
      <c r="AZ379" s="10"/>
      <c r="BA379" s="10"/>
      <c r="BB379" s="10"/>
      <c r="BC379" s="10"/>
      <c r="BD379" s="10"/>
      <c r="BE379" s="10"/>
      <c r="BF379" s="10"/>
      <c r="BG379" s="10"/>
      <c r="BH379" s="10"/>
      <c r="BI379" s="10"/>
      <c r="BJ379" s="10"/>
      <c r="BK379" s="10"/>
      <c r="BL379" s="10"/>
      <c r="BM379" s="10"/>
      <c r="BN379" s="10"/>
      <c r="BO379" s="10"/>
      <c r="BP379" s="10"/>
      <c r="BQ379" s="10"/>
      <c r="BR379" s="10"/>
      <c r="BS379" s="10"/>
      <c r="BT379" s="10"/>
      <c r="BU379" s="10"/>
      <c r="BV379" s="10"/>
      <c r="BW379" s="10"/>
      <c r="BX379" s="10"/>
      <c r="BY379" s="10"/>
      <c r="BZ379" s="10"/>
      <c r="CA379" s="10"/>
      <c r="CB379" s="10"/>
      <c r="CC379" s="10"/>
      <c r="CD379" s="10"/>
      <c r="CE379" s="10"/>
      <c r="CF379" s="10"/>
    </row>
    <row r="380" spans="1:84" x14ac:dyDescent="0.25">
      <c r="A380" s="10"/>
      <c r="B380" s="10"/>
      <c r="C380" s="12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4"/>
      <c r="X380" s="10"/>
      <c r="Y380" s="10"/>
      <c r="Z380" s="10"/>
      <c r="AA380" s="10"/>
      <c r="AB380" s="10"/>
      <c r="AC380" s="10"/>
      <c r="AD380" s="15"/>
      <c r="AE380" s="8"/>
      <c r="AF380" s="10"/>
      <c r="AG380" s="10"/>
      <c r="AH380" s="9"/>
      <c r="AI380" s="9"/>
      <c r="AJ380" s="10"/>
      <c r="AK380" s="16"/>
      <c r="AL380" s="16"/>
      <c r="AM380" s="10"/>
      <c r="AN380" s="10"/>
      <c r="AO380" s="16"/>
      <c r="AP380" s="10"/>
      <c r="AQ380" s="12"/>
      <c r="AR380" s="12"/>
      <c r="AS380" s="10"/>
      <c r="AT380" s="10"/>
      <c r="AU380" s="10"/>
      <c r="AV380" s="10"/>
      <c r="AW380" s="10"/>
      <c r="AX380" s="10"/>
      <c r="AY380" s="10"/>
      <c r="AZ380" s="10"/>
      <c r="BA380" s="10"/>
      <c r="BB380" s="10"/>
      <c r="BC380" s="10"/>
      <c r="BD380" s="10"/>
      <c r="BE380" s="10"/>
      <c r="BF380" s="10"/>
      <c r="BG380" s="10"/>
      <c r="BH380" s="10"/>
      <c r="BI380" s="10"/>
      <c r="BJ380" s="10"/>
      <c r="BK380" s="10"/>
      <c r="BL380" s="10"/>
      <c r="BM380" s="10"/>
      <c r="BN380" s="10"/>
      <c r="BO380" s="10"/>
      <c r="BP380" s="10"/>
      <c r="BQ380" s="10"/>
      <c r="BR380" s="10"/>
      <c r="BS380" s="10"/>
      <c r="BT380" s="10"/>
      <c r="BU380" s="10"/>
      <c r="BV380" s="10"/>
      <c r="BW380" s="10"/>
      <c r="BX380" s="10"/>
      <c r="BY380" s="10"/>
      <c r="BZ380" s="10"/>
      <c r="CA380" s="10"/>
      <c r="CB380" s="10"/>
      <c r="CC380" s="10"/>
      <c r="CD380" s="10"/>
      <c r="CE380" s="10"/>
      <c r="CF380" s="10"/>
    </row>
    <row r="381" spans="1:84" x14ac:dyDescent="0.25">
      <c r="A381" s="10"/>
      <c r="B381" s="10"/>
      <c r="C381" s="12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4"/>
      <c r="X381" s="10"/>
      <c r="Y381" s="10"/>
      <c r="Z381" s="10"/>
      <c r="AA381" s="10"/>
      <c r="AB381" s="10"/>
      <c r="AC381" s="10"/>
      <c r="AD381" s="15"/>
      <c r="AE381" s="8"/>
      <c r="AF381" s="10"/>
      <c r="AG381" s="10"/>
      <c r="AH381" s="9"/>
      <c r="AI381" s="9"/>
      <c r="AJ381" s="10"/>
      <c r="AK381" s="16"/>
      <c r="AL381" s="16"/>
      <c r="AM381" s="10"/>
      <c r="AN381" s="10"/>
      <c r="AO381" s="16"/>
      <c r="AP381" s="10"/>
      <c r="AQ381" s="12"/>
      <c r="AR381" s="12"/>
      <c r="AS381" s="10"/>
      <c r="AT381" s="10"/>
      <c r="AU381" s="10"/>
      <c r="AV381" s="10"/>
      <c r="AW381" s="10"/>
      <c r="AX381" s="10"/>
      <c r="AY381" s="10"/>
      <c r="AZ381" s="10"/>
      <c r="BA381" s="10"/>
      <c r="BB381" s="10"/>
      <c r="BC381" s="10"/>
      <c r="BD381" s="10"/>
      <c r="BE381" s="10"/>
      <c r="BF381" s="10"/>
      <c r="BG381" s="10"/>
      <c r="BH381" s="10"/>
      <c r="BI381" s="10"/>
      <c r="BJ381" s="10"/>
      <c r="BK381" s="10"/>
      <c r="BL381" s="10"/>
      <c r="BM381" s="10"/>
      <c r="BN381" s="10"/>
      <c r="BO381" s="10"/>
      <c r="BP381" s="10"/>
      <c r="BQ381" s="10"/>
      <c r="BR381" s="10"/>
      <c r="BS381" s="10"/>
      <c r="BT381" s="10"/>
      <c r="BU381" s="10"/>
      <c r="BV381" s="10"/>
      <c r="BW381" s="10"/>
      <c r="BX381" s="10"/>
      <c r="BY381" s="10"/>
      <c r="BZ381" s="10"/>
      <c r="CA381" s="10"/>
      <c r="CB381" s="10"/>
      <c r="CC381" s="10"/>
      <c r="CD381" s="10"/>
      <c r="CE381" s="10"/>
      <c r="CF381" s="10"/>
    </row>
    <row r="382" spans="1:84" x14ac:dyDescent="0.25">
      <c r="A382" s="10"/>
      <c r="B382" s="10"/>
      <c r="C382" s="12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4"/>
      <c r="X382" s="10"/>
      <c r="Y382" s="10"/>
      <c r="Z382" s="10"/>
      <c r="AA382" s="10"/>
      <c r="AB382" s="10"/>
      <c r="AC382" s="10"/>
      <c r="AD382" s="15"/>
      <c r="AE382" s="8"/>
      <c r="AF382" s="10"/>
      <c r="AG382" s="10"/>
      <c r="AH382" s="9"/>
      <c r="AI382" s="9"/>
      <c r="AJ382" s="10"/>
      <c r="AK382" s="16"/>
      <c r="AL382" s="16"/>
      <c r="AM382" s="10"/>
      <c r="AN382" s="10"/>
      <c r="AO382" s="16"/>
      <c r="AP382" s="10"/>
      <c r="AQ382" s="12"/>
      <c r="AR382" s="12"/>
      <c r="AS382" s="10"/>
      <c r="AT382" s="10"/>
      <c r="AU382" s="10"/>
      <c r="AV382" s="10"/>
      <c r="AW382" s="10"/>
      <c r="AX382" s="10"/>
      <c r="AY382" s="10"/>
      <c r="AZ382" s="10"/>
      <c r="BA382" s="10"/>
      <c r="BB382" s="10"/>
      <c r="BC382" s="10"/>
      <c r="BD382" s="10"/>
      <c r="BE382" s="10"/>
      <c r="BF382" s="10"/>
      <c r="BG382" s="10"/>
      <c r="BH382" s="10"/>
      <c r="BI382" s="10"/>
      <c r="BJ382" s="10"/>
      <c r="BK382" s="10"/>
      <c r="BL382" s="10"/>
      <c r="BM382" s="10"/>
      <c r="BN382" s="10"/>
      <c r="BO382" s="10"/>
      <c r="BP382" s="10"/>
      <c r="BQ382" s="10"/>
      <c r="BR382" s="10"/>
      <c r="BS382" s="10"/>
      <c r="BT382" s="10"/>
      <c r="BU382" s="10"/>
      <c r="BV382" s="10"/>
      <c r="BW382" s="10"/>
      <c r="BX382" s="10"/>
      <c r="BY382" s="10"/>
      <c r="BZ382" s="10"/>
      <c r="CA382" s="10"/>
      <c r="CB382" s="10"/>
      <c r="CC382" s="10"/>
      <c r="CD382" s="10"/>
      <c r="CE382" s="10"/>
      <c r="CF382" s="10"/>
    </row>
    <row r="383" spans="1:84" x14ac:dyDescent="0.25">
      <c r="A383" s="10"/>
      <c r="B383" s="10"/>
      <c r="C383" s="12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4"/>
      <c r="X383" s="10"/>
      <c r="Y383" s="10"/>
      <c r="Z383" s="10"/>
      <c r="AA383" s="10"/>
      <c r="AB383" s="10"/>
      <c r="AC383" s="10"/>
      <c r="AD383" s="15"/>
      <c r="AE383" s="8"/>
      <c r="AF383" s="10"/>
      <c r="AG383" s="10"/>
      <c r="AH383" s="9"/>
      <c r="AI383" s="9"/>
      <c r="AJ383" s="10"/>
      <c r="AK383" s="16"/>
      <c r="AL383" s="16"/>
      <c r="AM383" s="10"/>
      <c r="AN383" s="10"/>
      <c r="AO383" s="16"/>
      <c r="AP383" s="10"/>
      <c r="AQ383" s="12"/>
      <c r="AR383" s="12"/>
      <c r="AS383" s="10"/>
      <c r="AT383" s="10"/>
      <c r="AU383" s="10"/>
      <c r="AV383" s="10"/>
      <c r="AW383" s="10"/>
      <c r="AX383" s="10"/>
      <c r="AY383" s="10"/>
      <c r="AZ383" s="10"/>
      <c r="BA383" s="10"/>
      <c r="BB383" s="10"/>
      <c r="BC383" s="10"/>
      <c r="BD383" s="10"/>
      <c r="BE383" s="10"/>
      <c r="BF383" s="10"/>
      <c r="BG383" s="10"/>
      <c r="BH383" s="10"/>
      <c r="BI383" s="10"/>
      <c r="BJ383" s="10"/>
      <c r="BK383" s="10"/>
      <c r="BL383" s="10"/>
      <c r="BM383" s="10"/>
      <c r="BN383" s="10"/>
      <c r="BO383" s="10"/>
      <c r="BP383" s="10"/>
      <c r="BQ383" s="10"/>
      <c r="BR383" s="10"/>
      <c r="BS383" s="10"/>
      <c r="BT383" s="10"/>
      <c r="BU383" s="10"/>
      <c r="BV383" s="10"/>
      <c r="BW383" s="10"/>
      <c r="BX383" s="10"/>
      <c r="BY383" s="10"/>
      <c r="BZ383" s="10"/>
      <c r="CA383" s="10"/>
      <c r="CB383" s="10"/>
      <c r="CC383" s="10"/>
      <c r="CD383" s="10"/>
      <c r="CE383" s="10"/>
      <c r="CF383" s="10"/>
    </row>
    <row r="384" spans="1:84" x14ac:dyDescent="0.25">
      <c r="A384" s="10"/>
      <c r="B384" s="10"/>
      <c r="C384" s="12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4"/>
      <c r="X384" s="10"/>
      <c r="Y384" s="10"/>
      <c r="Z384" s="10"/>
      <c r="AA384" s="10"/>
      <c r="AB384" s="10"/>
      <c r="AC384" s="10"/>
      <c r="AD384" s="15"/>
      <c r="AE384" s="8"/>
      <c r="AF384" s="10"/>
      <c r="AG384" s="10"/>
      <c r="AH384" s="9"/>
      <c r="AI384" s="9"/>
      <c r="AJ384" s="10"/>
      <c r="AK384" s="16"/>
      <c r="AL384" s="16"/>
      <c r="AM384" s="10"/>
      <c r="AN384" s="10"/>
      <c r="AO384" s="16"/>
      <c r="AP384" s="10"/>
      <c r="AQ384" s="12"/>
      <c r="AR384" s="12"/>
      <c r="AS384" s="10"/>
      <c r="AT384" s="10"/>
      <c r="AU384" s="10"/>
      <c r="AV384" s="10"/>
      <c r="AW384" s="10"/>
      <c r="AX384" s="10"/>
      <c r="AY384" s="10"/>
      <c r="AZ384" s="10"/>
      <c r="BA384" s="10"/>
      <c r="BB384" s="10"/>
      <c r="BC384" s="10"/>
      <c r="BD384" s="10"/>
      <c r="BE384" s="10"/>
      <c r="BF384" s="10"/>
      <c r="BG384" s="10"/>
      <c r="BH384" s="10"/>
      <c r="BI384" s="10"/>
      <c r="BJ384" s="10"/>
      <c r="BK384" s="10"/>
      <c r="BL384" s="10"/>
      <c r="BM384" s="10"/>
      <c r="BN384" s="10"/>
      <c r="BO384" s="10"/>
      <c r="BP384" s="10"/>
      <c r="BQ384" s="10"/>
      <c r="BR384" s="10"/>
      <c r="BS384" s="10"/>
      <c r="BT384" s="10"/>
      <c r="BU384" s="10"/>
      <c r="BV384" s="10"/>
      <c r="BW384" s="10"/>
      <c r="BX384" s="10"/>
      <c r="BY384" s="10"/>
      <c r="BZ384" s="10"/>
      <c r="CA384" s="10"/>
      <c r="CB384" s="10"/>
      <c r="CC384" s="10"/>
      <c r="CD384" s="10"/>
      <c r="CE384" s="10"/>
      <c r="CF384" s="10"/>
    </row>
    <row r="385" spans="1:84" x14ac:dyDescent="0.25">
      <c r="A385" s="10"/>
      <c r="B385" s="10"/>
      <c r="C385" s="12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4"/>
      <c r="X385" s="10"/>
      <c r="Y385" s="10"/>
      <c r="Z385" s="10"/>
      <c r="AA385" s="10"/>
      <c r="AB385" s="10"/>
      <c r="AC385" s="10"/>
      <c r="AD385" s="15"/>
      <c r="AE385" s="8"/>
      <c r="AF385" s="10"/>
      <c r="AG385" s="10"/>
      <c r="AH385" s="9"/>
      <c r="AI385" s="9"/>
      <c r="AJ385" s="10"/>
      <c r="AK385" s="16"/>
      <c r="AL385" s="16"/>
      <c r="AM385" s="10"/>
      <c r="AN385" s="10"/>
      <c r="AO385" s="16"/>
      <c r="AP385" s="10"/>
      <c r="AQ385" s="12"/>
      <c r="AR385" s="12"/>
      <c r="AS385" s="10"/>
      <c r="AT385" s="10"/>
      <c r="AU385" s="10"/>
      <c r="AV385" s="10"/>
      <c r="AW385" s="10"/>
      <c r="AX385" s="10"/>
      <c r="AY385" s="10"/>
      <c r="AZ385" s="10"/>
      <c r="BA385" s="10"/>
      <c r="BB385" s="10"/>
      <c r="BC385" s="10"/>
      <c r="BD385" s="10"/>
      <c r="BE385" s="10"/>
      <c r="BF385" s="10"/>
      <c r="BG385" s="10"/>
      <c r="BH385" s="10"/>
      <c r="BI385" s="10"/>
      <c r="BJ385" s="10"/>
      <c r="BK385" s="10"/>
      <c r="BL385" s="10"/>
      <c r="BM385" s="10"/>
      <c r="BN385" s="10"/>
      <c r="BO385" s="10"/>
      <c r="BP385" s="10"/>
      <c r="BQ385" s="10"/>
      <c r="BR385" s="10"/>
      <c r="BS385" s="10"/>
      <c r="BT385" s="10"/>
      <c r="BU385" s="10"/>
      <c r="BV385" s="10"/>
      <c r="BW385" s="10"/>
      <c r="BX385" s="10"/>
      <c r="BY385" s="10"/>
      <c r="BZ385" s="10"/>
      <c r="CA385" s="10"/>
      <c r="CB385" s="10"/>
      <c r="CC385" s="10"/>
      <c r="CD385" s="10"/>
      <c r="CE385" s="10"/>
      <c r="CF385" s="10"/>
    </row>
    <row r="386" spans="1:84" x14ac:dyDescent="0.25">
      <c r="A386" s="10"/>
      <c r="B386" s="10"/>
      <c r="C386" s="12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4"/>
      <c r="X386" s="10"/>
      <c r="Y386" s="10"/>
      <c r="Z386" s="10"/>
      <c r="AA386" s="10"/>
      <c r="AB386" s="10"/>
      <c r="AC386" s="10"/>
      <c r="AD386" s="15"/>
      <c r="AE386" s="8"/>
      <c r="AF386" s="10"/>
      <c r="AG386" s="10"/>
      <c r="AH386" s="9"/>
      <c r="AI386" s="9"/>
      <c r="AJ386" s="10"/>
      <c r="AK386" s="16"/>
      <c r="AL386" s="16"/>
      <c r="AM386" s="10"/>
      <c r="AN386" s="10"/>
      <c r="AO386" s="16"/>
      <c r="AP386" s="10"/>
      <c r="AQ386" s="12"/>
      <c r="AR386" s="12"/>
      <c r="AS386" s="10"/>
      <c r="AT386" s="10"/>
      <c r="AU386" s="10"/>
      <c r="AV386" s="10"/>
      <c r="AW386" s="10"/>
      <c r="AX386" s="10"/>
      <c r="AY386" s="10"/>
      <c r="AZ386" s="10"/>
      <c r="BA386" s="10"/>
      <c r="BB386" s="10"/>
      <c r="BC386" s="10"/>
      <c r="BD386" s="10"/>
      <c r="BE386" s="10"/>
      <c r="BF386" s="10"/>
      <c r="BG386" s="10"/>
      <c r="BH386" s="10"/>
      <c r="BI386" s="10"/>
      <c r="BJ386" s="10"/>
      <c r="BK386" s="10"/>
      <c r="BL386" s="10"/>
      <c r="BM386" s="10"/>
      <c r="BN386" s="10"/>
      <c r="BO386" s="10"/>
      <c r="BP386" s="10"/>
      <c r="BQ386" s="10"/>
      <c r="BR386" s="10"/>
      <c r="BS386" s="10"/>
      <c r="BT386" s="10"/>
      <c r="BU386" s="10"/>
      <c r="BV386" s="10"/>
      <c r="BW386" s="10"/>
      <c r="BX386" s="10"/>
      <c r="BY386" s="10"/>
      <c r="BZ386" s="10"/>
      <c r="CA386" s="10"/>
      <c r="CB386" s="10"/>
      <c r="CC386" s="10"/>
      <c r="CD386" s="10"/>
      <c r="CE386" s="10"/>
      <c r="CF386" s="10"/>
    </row>
    <row r="387" spans="1:84" x14ac:dyDescent="0.25">
      <c r="A387" s="10"/>
      <c r="B387" s="10"/>
      <c r="C387" s="12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4"/>
      <c r="X387" s="10"/>
      <c r="Y387" s="10"/>
      <c r="Z387" s="10"/>
      <c r="AA387" s="10"/>
      <c r="AB387" s="10"/>
      <c r="AC387" s="10"/>
      <c r="AD387" s="15"/>
      <c r="AE387" s="8"/>
      <c r="AF387" s="10"/>
      <c r="AG387" s="10"/>
      <c r="AH387" s="9"/>
      <c r="AI387" s="9"/>
      <c r="AJ387" s="10"/>
      <c r="AK387" s="16"/>
      <c r="AL387" s="16"/>
      <c r="AM387" s="10"/>
      <c r="AN387" s="10"/>
      <c r="AO387" s="16"/>
      <c r="AP387" s="10"/>
      <c r="AQ387" s="12"/>
      <c r="AR387" s="12"/>
      <c r="AS387" s="10"/>
      <c r="AT387" s="10"/>
      <c r="AU387" s="10"/>
      <c r="AV387" s="10"/>
      <c r="AW387" s="10"/>
      <c r="AX387" s="10"/>
      <c r="AY387" s="10"/>
      <c r="AZ387" s="10"/>
      <c r="BA387" s="10"/>
      <c r="BB387" s="10"/>
      <c r="BC387" s="10"/>
      <c r="BD387" s="10"/>
      <c r="BE387" s="10"/>
      <c r="BF387" s="10"/>
      <c r="BG387" s="10"/>
      <c r="BH387" s="10"/>
      <c r="BI387" s="10"/>
      <c r="BJ387" s="10"/>
      <c r="BK387" s="10"/>
      <c r="BL387" s="10"/>
      <c r="BM387" s="10"/>
      <c r="BN387" s="10"/>
      <c r="BO387" s="10"/>
      <c r="BP387" s="10"/>
      <c r="BQ387" s="10"/>
      <c r="BR387" s="10"/>
      <c r="BS387" s="10"/>
      <c r="BT387" s="10"/>
      <c r="BU387" s="10"/>
      <c r="BV387" s="10"/>
      <c r="BW387" s="10"/>
      <c r="BX387" s="10"/>
      <c r="BY387" s="10"/>
      <c r="BZ387" s="10"/>
      <c r="CA387" s="10"/>
      <c r="CB387" s="10"/>
      <c r="CC387" s="10"/>
      <c r="CD387" s="10"/>
      <c r="CE387" s="10"/>
      <c r="CF387" s="10"/>
    </row>
    <row r="388" spans="1:84" x14ac:dyDescent="0.25">
      <c r="A388" s="10"/>
      <c r="B388" s="10"/>
      <c r="C388" s="12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4"/>
      <c r="X388" s="10"/>
      <c r="Y388" s="10"/>
      <c r="Z388" s="10"/>
      <c r="AA388" s="10"/>
      <c r="AB388" s="10"/>
      <c r="AC388" s="10"/>
      <c r="AD388" s="15"/>
      <c r="AE388" s="8"/>
      <c r="AF388" s="10"/>
      <c r="AG388" s="10"/>
      <c r="AH388" s="9"/>
      <c r="AI388" s="9"/>
      <c r="AJ388" s="10"/>
      <c r="AK388" s="16"/>
      <c r="AL388" s="16"/>
      <c r="AM388" s="10"/>
      <c r="AN388" s="10"/>
      <c r="AO388" s="16"/>
      <c r="AP388" s="10"/>
      <c r="AQ388" s="12"/>
      <c r="AR388" s="12"/>
      <c r="AS388" s="10"/>
      <c r="AT388" s="10"/>
      <c r="AU388" s="10"/>
      <c r="AV388" s="10"/>
      <c r="AW388" s="10"/>
      <c r="AX388" s="10"/>
      <c r="AY388" s="10"/>
      <c r="AZ388" s="10"/>
      <c r="BA388" s="10"/>
      <c r="BB388" s="10"/>
      <c r="BC388" s="10"/>
      <c r="BD388" s="10"/>
      <c r="BE388" s="10"/>
      <c r="BF388" s="10"/>
      <c r="BG388" s="10"/>
      <c r="BH388" s="10"/>
      <c r="BI388" s="10"/>
      <c r="BJ388" s="10"/>
      <c r="BK388" s="10"/>
      <c r="BL388" s="10"/>
      <c r="BM388" s="10"/>
      <c r="BN388" s="10"/>
      <c r="BO388" s="10"/>
      <c r="BP388" s="10"/>
      <c r="BQ388" s="10"/>
      <c r="BR388" s="10"/>
      <c r="BS388" s="10"/>
      <c r="BT388" s="10"/>
      <c r="BU388" s="10"/>
      <c r="BV388" s="10"/>
      <c r="BW388" s="10"/>
      <c r="BX388" s="10"/>
      <c r="BY388" s="10"/>
      <c r="BZ388" s="10"/>
      <c r="CA388" s="10"/>
      <c r="CB388" s="10"/>
      <c r="CC388" s="10"/>
      <c r="CD388" s="10"/>
      <c r="CE388" s="10"/>
      <c r="CF388" s="10"/>
    </row>
    <row r="389" spans="1:84" x14ac:dyDescent="0.25">
      <c r="A389" s="10"/>
      <c r="B389" s="10"/>
      <c r="C389" s="12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4"/>
      <c r="X389" s="10"/>
      <c r="Y389" s="10"/>
      <c r="Z389" s="10"/>
      <c r="AA389" s="10"/>
      <c r="AB389" s="10"/>
      <c r="AC389" s="10"/>
      <c r="AD389" s="15"/>
      <c r="AE389" s="8"/>
      <c r="AF389" s="10"/>
      <c r="AG389" s="10"/>
      <c r="AH389" s="9"/>
      <c r="AI389" s="9"/>
      <c r="AJ389" s="10"/>
      <c r="AK389" s="16"/>
      <c r="AL389" s="16"/>
      <c r="AM389" s="10"/>
      <c r="AN389" s="10"/>
      <c r="AO389" s="16"/>
      <c r="AP389" s="10"/>
      <c r="AQ389" s="12"/>
      <c r="AR389" s="12"/>
      <c r="AS389" s="10"/>
      <c r="AT389" s="10"/>
      <c r="AU389" s="10"/>
      <c r="AV389" s="10"/>
      <c r="AW389" s="10"/>
      <c r="AX389" s="10"/>
      <c r="AY389" s="10"/>
      <c r="AZ389" s="10"/>
      <c r="BA389" s="10"/>
      <c r="BB389" s="10"/>
      <c r="BC389" s="10"/>
      <c r="BD389" s="10"/>
      <c r="BE389" s="10"/>
      <c r="BF389" s="10"/>
      <c r="BG389" s="10"/>
      <c r="BH389" s="10"/>
      <c r="BI389" s="10"/>
      <c r="BJ389" s="10"/>
      <c r="BK389" s="10"/>
      <c r="BL389" s="10"/>
      <c r="BM389" s="10"/>
      <c r="BN389" s="10"/>
      <c r="BO389" s="10"/>
      <c r="BP389" s="10"/>
      <c r="BQ389" s="10"/>
      <c r="BR389" s="10"/>
      <c r="BS389" s="10"/>
      <c r="BT389" s="10"/>
      <c r="BU389" s="10"/>
      <c r="BV389" s="10"/>
      <c r="BW389" s="10"/>
      <c r="BX389" s="10"/>
      <c r="BY389" s="10"/>
      <c r="BZ389" s="10"/>
      <c r="CA389" s="10"/>
      <c r="CB389" s="10"/>
      <c r="CC389" s="10"/>
      <c r="CD389" s="10"/>
      <c r="CE389" s="10"/>
      <c r="CF389" s="10"/>
    </row>
    <row r="390" spans="1:84" x14ac:dyDescent="0.25">
      <c r="A390" s="10"/>
      <c r="B390" s="10"/>
      <c r="C390" s="12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4"/>
      <c r="X390" s="10"/>
      <c r="Y390" s="10"/>
      <c r="Z390" s="10"/>
      <c r="AA390" s="10"/>
      <c r="AB390" s="10"/>
      <c r="AC390" s="10"/>
      <c r="AD390" s="15"/>
      <c r="AE390" s="8"/>
      <c r="AF390" s="10"/>
      <c r="AG390" s="10"/>
      <c r="AH390" s="9"/>
      <c r="AI390" s="9"/>
      <c r="AJ390" s="10"/>
      <c r="AK390" s="16"/>
      <c r="AL390" s="16"/>
      <c r="AM390" s="10"/>
      <c r="AN390" s="10"/>
      <c r="AO390" s="16"/>
      <c r="AP390" s="10"/>
      <c r="AQ390" s="12"/>
      <c r="AR390" s="12"/>
      <c r="AS390" s="10"/>
      <c r="AT390" s="10"/>
      <c r="AU390" s="10"/>
      <c r="AV390" s="10"/>
      <c r="AW390" s="10"/>
      <c r="AX390" s="10"/>
      <c r="AY390" s="10"/>
      <c r="AZ390" s="10"/>
      <c r="BA390" s="10"/>
      <c r="BB390" s="10"/>
      <c r="BC390" s="10"/>
      <c r="BD390" s="10"/>
      <c r="BE390" s="10"/>
      <c r="BF390" s="10"/>
      <c r="BG390" s="10"/>
      <c r="BH390" s="10"/>
      <c r="BI390" s="10"/>
      <c r="BJ390" s="10"/>
      <c r="BK390" s="10"/>
      <c r="BL390" s="10"/>
      <c r="BM390" s="10"/>
      <c r="BN390" s="10"/>
      <c r="BO390" s="10"/>
      <c r="BP390" s="10"/>
      <c r="BQ390" s="10"/>
      <c r="BR390" s="10"/>
      <c r="BS390" s="10"/>
      <c r="BT390" s="10"/>
      <c r="BU390" s="10"/>
      <c r="BV390" s="10"/>
      <c r="BW390" s="10"/>
      <c r="BX390" s="10"/>
      <c r="BY390" s="10"/>
      <c r="BZ390" s="10"/>
      <c r="CA390" s="10"/>
      <c r="CB390" s="10"/>
      <c r="CC390" s="10"/>
      <c r="CD390" s="10"/>
      <c r="CE390" s="10"/>
      <c r="CF390" s="10"/>
    </row>
    <row r="391" spans="1:84" x14ac:dyDescent="0.25">
      <c r="A391" s="10"/>
      <c r="B391" s="10"/>
      <c r="C391" s="12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4"/>
      <c r="X391" s="10"/>
      <c r="Y391" s="10"/>
      <c r="Z391" s="10"/>
      <c r="AA391" s="10"/>
      <c r="AB391" s="10"/>
      <c r="AC391" s="10"/>
      <c r="AD391" s="15"/>
      <c r="AE391" s="8"/>
      <c r="AF391" s="10"/>
      <c r="AG391" s="10"/>
      <c r="AH391" s="9"/>
      <c r="AI391" s="9"/>
      <c r="AJ391" s="10"/>
      <c r="AK391" s="16"/>
      <c r="AL391" s="16"/>
      <c r="AM391" s="10"/>
      <c r="AN391" s="10"/>
      <c r="AO391" s="16"/>
      <c r="AP391" s="10"/>
      <c r="AQ391" s="12"/>
      <c r="AR391" s="12"/>
      <c r="AS391" s="10"/>
      <c r="AT391" s="10"/>
      <c r="AU391" s="10"/>
      <c r="AV391" s="10"/>
      <c r="AW391" s="10"/>
      <c r="AX391" s="10"/>
      <c r="AY391" s="10"/>
      <c r="AZ391" s="10"/>
      <c r="BA391" s="10"/>
      <c r="BB391" s="10"/>
      <c r="BC391" s="10"/>
      <c r="BD391" s="10"/>
      <c r="BE391" s="10"/>
      <c r="BF391" s="10"/>
      <c r="BG391" s="10"/>
      <c r="BH391" s="10"/>
      <c r="BI391" s="10"/>
      <c r="BJ391" s="10"/>
      <c r="BK391" s="10"/>
      <c r="BL391" s="10"/>
      <c r="BM391" s="10"/>
      <c r="BN391" s="10"/>
      <c r="BO391" s="10"/>
      <c r="BP391" s="10"/>
      <c r="BQ391" s="10"/>
      <c r="BR391" s="10"/>
      <c r="BS391" s="10"/>
      <c r="BT391" s="10"/>
      <c r="BU391" s="10"/>
      <c r="BV391" s="10"/>
      <c r="BW391" s="10"/>
      <c r="BX391" s="10"/>
      <c r="BY391" s="10"/>
      <c r="BZ391" s="10"/>
      <c r="CA391" s="10"/>
      <c r="CB391" s="10"/>
      <c r="CC391" s="10"/>
      <c r="CD391" s="10"/>
      <c r="CE391" s="10"/>
      <c r="CF391" s="10"/>
    </row>
    <row r="392" spans="1:84" x14ac:dyDescent="0.25">
      <c r="A392" s="10"/>
      <c r="B392" s="10"/>
      <c r="C392" s="12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4"/>
      <c r="X392" s="10"/>
      <c r="Y392" s="10"/>
      <c r="Z392" s="10"/>
      <c r="AA392" s="10"/>
      <c r="AB392" s="10"/>
      <c r="AC392" s="10"/>
      <c r="AD392" s="15"/>
      <c r="AE392" s="8"/>
      <c r="AF392" s="10"/>
      <c r="AG392" s="10"/>
      <c r="AH392" s="9"/>
      <c r="AI392" s="9"/>
      <c r="AJ392" s="10"/>
      <c r="AK392" s="16"/>
      <c r="AL392" s="16"/>
      <c r="AM392" s="10"/>
      <c r="AN392" s="10"/>
      <c r="AO392" s="16"/>
      <c r="AP392" s="10"/>
      <c r="AQ392" s="12"/>
      <c r="AR392" s="12"/>
      <c r="AS392" s="10"/>
      <c r="AT392" s="10"/>
      <c r="AU392" s="10"/>
      <c r="AV392" s="10"/>
      <c r="AW392" s="10"/>
      <c r="AX392" s="10"/>
      <c r="AY392" s="10"/>
      <c r="AZ392" s="10"/>
      <c r="BA392" s="10"/>
      <c r="BB392" s="10"/>
      <c r="BC392" s="10"/>
      <c r="BD392" s="10"/>
      <c r="BE392" s="10"/>
      <c r="BF392" s="10"/>
      <c r="BG392" s="10"/>
      <c r="BH392" s="10"/>
      <c r="BI392" s="10"/>
      <c r="BJ392" s="10"/>
      <c r="BK392" s="10"/>
      <c r="BL392" s="10"/>
      <c r="BM392" s="10"/>
      <c r="BN392" s="10"/>
      <c r="BO392" s="10"/>
      <c r="BP392" s="10"/>
      <c r="BQ392" s="10"/>
      <c r="BR392" s="10"/>
      <c r="BS392" s="10"/>
      <c r="BT392" s="10"/>
      <c r="BU392" s="10"/>
      <c r="BV392" s="10"/>
      <c r="BW392" s="10"/>
      <c r="BX392" s="10"/>
      <c r="BY392" s="10"/>
      <c r="BZ392" s="10"/>
      <c r="CA392" s="10"/>
      <c r="CB392" s="10"/>
      <c r="CC392" s="10"/>
      <c r="CD392" s="10"/>
      <c r="CE392" s="10"/>
      <c r="CF392" s="10"/>
    </row>
    <row r="393" spans="1:84" x14ac:dyDescent="0.25">
      <c r="A393" s="10"/>
      <c r="B393" s="10"/>
      <c r="C393" s="12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4"/>
      <c r="X393" s="10"/>
      <c r="Y393" s="10"/>
      <c r="Z393" s="10"/>
      <c r="AA393" s="10"/>
      <c r="AB393" s="10"/>
      <c r="AC393" s="10"/>
      <c r="AD393" s="15"/>
      <c r="AE393" s="8"/>
      <c r="AF393" s="10"/>
      <c r="AG393" s="10"/>
      <c r="AH393" s="9"/>
      <c r="AI393" s="9"/>
      <c r="AJ393" s="10"/>
      <c r="AK393" s="16"/>
      <c r="AL393" s="16"/>
      <c r="AM393" s="10"/>
      <c r="AN393" s="10"/>
      <c r="AO393" s="16"/>
      <c r="AP393" s="10"/>
      <c r="AQ393" s="12"/>
      <c r="AR393" s="12"/>
      <c r="AS393" s="10"/>
      <c r="AT393" s="10"/>
      <c r="AU393" s="10"/>
      <c r="AV393" s="10"/>
      <c r="AW393" s="10"/>
      <c r="AX393" s="10"/>
      <c r="AY393" s="10"/>
      <c r="AZ393" s="10"/>
      <c r="BA393" s="10"/>
      <c r="BB393" s="10"/>
      <c r="BC393" s="10"/>
      <c r="BD393" s="10"/>
      <c r="BE393" s="10"/>
      <c r="BF393" s="10"/>
      <c r="BG393" s="10"/>
      <c r="BH393" s="10"/>
      <c r="BI393" s="10"/>
      <c r="BJ393" s="10"/>
      <c r="BK393" s="10"/>
      <c r="BL393" s="10"/>
      <c r="BM393" s="10"/>
      <c r="BN393" s="10"/>
      <c r="BO393" s="10"/>
      <c r="BP393" s="10"/>
      <c r="BQ393" s="10"/>
      <c r="BR393" s="10"/>
      <c r="BS393" s="10"/>
      <c r="BT393" s="10"/>
      <c r="BU393" s="10"/>
      <c r="BV393" s="10"/>
      <c r="BW393" s="10"/>
      <c r="BX393" s="10"/>
      <c r="BY393" s="10"/>
      <c r="BZ393" s="10"/>
      <c r="CA393" s="10"/>
      <c r="CB393" s="10"/>
      <c r="CC393" s="10"/>
      <c r="CD393" s="10"/>
      <c r="CE393" s="10"/>
      <c r="CF393" s="10"/>
    </row>
    <row r="394" spans="1:84" x14ac:dyDescent="0.25">
      <c r="A394" s="10"/>
      <c r="B394" s="10"/>
      <c r="C394" s="12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4"/>
      <c r="X394" s="10"/>
      <c r="Y394" s="10"/>
      <c r="Z394" s="10"/>
      <c r="AA394" s="10"/>
      <c r="AB394" s="10"/>
      <c r="AC394" s="10"/>
      <c r="AD394" s="15"/>
      <c r="AE394" s="8"/>
      <c r="AF394" s="10"/>
      <c r="AG394" s="10"/>
      <c r="AH394" s="9"/>
      <c r="AI394" s="9"/>
      <c r="AJ394" s="10"/>
      <c r="AK394" s="16"/>
      <c r="AL394" s="16"/>
      <c r="AM394" s="10"/>
      <c r="AN394" s="10"/>
      <c r="AO394" s="16"/>
      <c r="AP394" s="10"/>
      <c r="AQ394" s="12"/>
      <c r="AR394" s="12"/>
      <c r="AS394" s="10"/>
      <c r="AT394" s="10"/>
      <c r="AU394" s="10"/>
      <c r="AV394" s="10"/>
      <c r="AW394" s="10"/>
      <c r="AX394" s="10"/>
      <c r="AY394" s="10"/>
      <c r="AZ394" s="10"/>
      <c r="BA394" s="10"/>
      <c r="BB394" s="10"/>
      <c r="BC394" s="10"/>
      <c r="BD394" s="10"/>
      <c r="BE394" s="10"/>
      <c r="BF394" s="10"/>
      <c r="BG394" s="10"/>
      <c r="BH394" s="10"/>
      <c r="BI394" s="10"/>
      <c r="BJ394" s="10"/>
      <c r="BK394" s="10"/>
      <c r="BL394" s="10"/>
      <c r="BM394" s="10"/>
      <c r="BN394" s="10"/>
      <c r="BO394" s="10"/>
      <c r="BP394" s="10"/>
      <c r="BQ394" s="10"/>
      <c r="BR394" s="10"/>
      <c r="BS394" s="10"/>
      <c r="BT394" s="10"/>
      <c r="BU394" s="10"/>
      <c r="BV394" s="10"/>
      <c r="BW394" s="10"/>
      <c r="BX394" s="10"/>
      <c r="BY394" s="10"/>
      <c r="BZ394" s="10"/>
      <c r="CA394" s="10"/>
      <c r="CB394" s="10"/>
      <c r="CC394" s="10"/>
      <c r="CD394" s="10"/>
      <c r="CE394" s="10"/>
      <c r="CF394" s="10"/>
    </row>
    <row r="395" spans="1:84" x14ac:dyDescent="0.25">
      <c r="A395" s="10"/>
      <c r="B395" s="10"/>
      <c r="C395" s="12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4"/>
      <c r="X395" s="10"/>
      <c r="Y395" s="10"/>
      <c r="Z395" s="10"/>
      <c r="AA395" s="10"/>
      <c r="AB395" s="10"/>
      <c r="AC395" s="10"/>
      <c r="AD395" s="15"/>
      <c r="AE395" s="8"/>
      <c r="AF395" s="10"/>
      <c r="AG395" s="10"/>
      <c r="AH395" s="9"/>
      <c r="AI395" s="9"/>
      <c r="AJ395" s="10"/>
      <c r="AK395" s="16"/>
      <c r="AL395" s="16"/>
      <c r="AM395" s="10"/>
      <c r="AN395" s="10"/>
      <c r="AO395" s="16"/>
      <c r="AP395" s="10"/>
      <c r="AQ395" s="12"/>
      <c r="AR395" s="12"/>
      <c r="AS395" s="10"/>
      <c r="AT395" s="10"/>
      <c r="AU395" s="10"/>
      <c r="AV395" s="10"/>
      <c r="AW395" s="10"/>
      <c r="AX395" s="10"/>
      <c r="AY395" s="10"/>
      <c r="AZ395" s="10"/>
      <c r="BA395" s="10"/>
      <c r="BB395" s="10"/>
      <c r="BC395" s="10"/>
      <c r="BD395" s="10"/>
      <c r="BE395" s="10"/>
      <c r="BF395" s="10"/>
      <c r="BG395" s="10"/>
      <c r="BH395" s="10"/>
      <c r="BI395" s="10"/>
      <c r="BJ395" s="10"/>
      <c r="BK395" s="10"/>
      <c r="BL395" s="10"/>
      <c r="BM395" s="10"/>
      <c r="BN395" s="10"/>
      <c r="BO395" s="10"/>
      <c r="BP395" s="10"/>
      <c r="BQ395" s="10"/>
      <c r="BR395" s="10"/>
      <c r="BS395" s="10"/>
      <c r="BT395" s="10"/>
      <c r="BU395" s="10"/>
      <c r="BV395" s="10"/>
      <c r="BW395" s="10"/>
      <c r="BX395" s="10"/>
      <c r="BY395" s="10"/>
      <c r="BZ395" s="10"/>
      <c r="CA395" s="10"/>
      <c r="CB395" s="10"/>
      <c r="CC395" s="10"/>
      <c r="CD395" s="10"/>
      <c r="CE395" s="10"/>
      <c r="CF395" s="10"/>
    </row>
  </sheetData>
  <conditionalFormatting sqref="AD6:AE6 AD39:AE1048576">
    <cfRule type="containsText" dxfId="163" priority="17" operator="containsText" text="Y">
      <formula>NOT(ISERROR(SEARCH("Y",AD6)))</formula>
    </cfRule>
  </conditionalFormatting>
  <conditionalFormatting sqref="AK6:AL6 AK266:AL1048576">
    <cfRule type="expression" priority="15">
      <formula>OR($AK$7&gt;120,$AK$7&lt;80)</formula>
    </cfRule>
    <cfRule type="cellIs" priority="16" operator="greaterThanOrEqual">
      <formula>120</formula>
    </cfRule>
  </conditionalFormatting>
  <conditionalFormatting sqref="AF6 AF39:AF1048576">
    <cfRule type="containsText" dxfId="162" priority="14" operator="containsText" text="Y">
      <formula>NOT(ISERROR(SEARCH("Y",AF6)))</formula>
    </cfRule>
  </conditionalFormatting>
  <conditionalFormatting sqref="AQ6 AQ266:AQ1048576">
    <cfRule type="cellIs" dxfId="161" priority="13" operator="equal">
      <formula>TRUE</formula>
    </cfRule>
  </conditionalFormatting>
  <conditionalFormatting sqref="AR6 AR266:AR1048576">
    <cfRule type="cellIs" dxfId="160" priority="11" operator="equal">
      <formula>FALSE</formula>
    </cfRule>
  </conditionalFormatting>
  <conditionalFormatting sqref="AT6 AT266:AT1048576">
    <cfRule type="cellIs" dxfId="159" priority="9" operator="equal">
      <formula>FALSE</formula>
    </cfRule>
  </conditionalFormatting>
  <conditionalFormatting sqref="AE7:AF7">
    <cfRule type="containsText" dxfId="158" priority="7" operator="containsText" text="Y">
      <formula>NOT(ISERROR(SEARCH("Y",AE7)))</formula>
    </cfRule>
  </conditionalFormatting>
  <conditionalFormatting sqref="AM7:AN7">
    <cfRule type="expression" priority="5">
      <formula>OR($AM$7&gt;120,$AM$7&lt;80)</formula>
    </cfRule>
    <cfRule type="cellIs" priority="6" operator="greaterThanOrEqual">
      <formula>120</formula>
    </cfRule>
  </conditionalFormatting>
  <conditionalFormatting sqref="AG7">
    <cfRule type="containsText" dxfId="157" priority="4" operator="containsText" text="Y">
      <formula>NOT(ISERROR(SEARCH("Y",AG7)))</formula>
    </cfRule>
  </conditionalFormatting>
  <conditionalFormatting sqref="AS7">
    <cfRule type="cellIs" dxfId="156" priority="3" operator="equal">
      <formula>TRUE</formula>
    </cfRule>
  </conditionalFormatting>
  <conditionalFormatting sqref="AT7:AT265">
    <cfRule type="cellIs" dxfId="155" priority="2" operator="equal">
      <formula>FALSE</formula>
    </cfRule>
  </conditionalFormatting>
  <conditionalFormatting sqref="AU1:AU1048576">
    <cfRule type="cellIs" dxfId="154" priority="1" operator="equal">
      <formula>TRUE</formula>
    </cfRule>
  </conditionalFormatting>
  <dataValidations count="11">
    <dataValidation type="list" allowBlank="1" showInputMessage="1" showErrorMessage="1" sqref="AE8:AE58">
      <formula1>Limiting_Factor</formula1>
    </dataValidation>
    <dataValidation type="list" allowBlank="1" showInputMessage="1" showErrorMessage="1" sqref="AE7">
      <formula1>LimitingFactors</formula1>
    </dataValidation>
    <dataValidation type="list" allowBlank="1" showInputMessage="1" showErrorMessage="1" sqref="J7:J1048576">
      <formula1>Crossing_Type</formula1>
    </dataValidation>
    <dataValidation type="list" allowBlank="1" showInputMessage="1" showErrorMessage="1" sqref="K7:K1048576 E7:E1048576">
      <formula1>Number</formula1>
    </dataValidation>
    <dataValidation type="list" allowBlank="1" showInputMessage="1" showErrorMessage="1" sqref="F7:F1048576">
      <formula1>Surveyor</formula1>
    </dataValidation>
    <dataValidation type="list" allowBlank="1" showInputMessage="1" showErrorMessage="1" sqref="V7:V1048576 N7:N1048576 Z7:AD1048576 AF7:AF1048576 AE59:AE1048576">
      <formula1>YN</formula1>
    </dataValidation>
    <dataValidation type="list" allowBlank="1" showInputMessage="1" showErrorMessage="1" sqref="O7:O1048576">
      <formula1>Culvert_Type</formula1>
    </dataValidation>
    <dataValidation type="list" allowBlank="1" showInputMessage="1" showErrorMessage="1" sqref="Q7:Q1048576">
      <formula1>Material</formula1>
    </dataValidation>
    <dataValidation type="list" allowBlank="1" showInputMessage="1" showErrorMessage="1" sqref="AG7:AG1048576 Y7:Y1048576">
      <formula1>Rank</formula1>
    </dataValidation>
    <dataValidation type="date" allowBlank="1" showInputMessage="1" showErrorMessage="1" sqref="G7:G1048576">
      <formula1>42370</formula1>
      <formula2>42735</formula2>
    </dataValidation>
    <dataValidation type="list" allowBlank="1" showInputMessage="1" showErrorMessage="1" sqref="P7:P1048576">
      <formula1>Opening_Shape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unAllMacros">
                <anchor moveWithCells="1" sizeWithCells="1">
                  <from>
                    <xdr:col>45</xdr:col>
                    <xdr:colOff>371475</xdr:colOff>
                    <xdr:row>1</xdr:row>
                    <xdr:rowOff>76200</xdr:rowOff>
                  </from>
                  <to>
                    <xdr:col>46</xdr:col>
                    <xdr:colOff>552450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F54"/>
  <sheetViews>
    <sheetView topLeftCell="J1" workbookViewId="0">
      <selection activeCell="A58" sqref="A58:XFD58"/>
    </sheetView>
  </sheetViews>
  <sheetFormatPr defaultRowHeight="15" x14ac:dyDescent="0.25"/>
  <cols>
    <col min="1" max="16384" width="9.140625" style="8"/>
  </cols>
  <sheetData>
    <row r="1" spans="1:84" s="25" customFormat="1" x14ac:dyDescent="0.25">
      <c r="A1" s="18">
        <v>1</v>
      </c>
      <c r="B1" s="18" t="s">
        <v>129</v>
      </c>
      <c r="C1" s="19" t="s">
        <v>128</v>
      </c>
      <c r="D1" s="19">
        <v>0.1</v>
      </c>
      <c r="E1" s="18"/>
      <c r="F1" s="18" t="s">
        <v>127</v>
      </c>
      <c r="G1" s="18">
        <v>42542</v>
      </c>
      <c r="H1" s="18" t="s">
        <v>127</v>
      </c>
      <c r="I1" s="18" t="s">
        <v>127</v>
      </c>
      <c r="J1" s="18" t="s">
        <v>92</v>
      </c>
      <c r="K1" s="18"/>
      <c r="L1" s="18">
        <v>0</v>
      </c>
      <c r="M1" s="18">
        <v>15</v>
      </c>
      <c r="N1" s="18" t="s">
        <v>93</v>
      </c>
      <c r="O1" s="18" t="s">
        <v>94</v>
      </c>
      <c r="P1" s="18" t="s">
        <v>95</v>
      </c>
      <c r="Q1" s="18" t="s">
        <v>96</v>
      </c>
      <c r="R1" s="18">
        <v>134</v>
      </c>
      <c r="S1" s="18">
        <v>15</v>
      </c>
      <c r="T1" s="18">
        <v>15</v>
      </c>
      <c r="U1" s="18"/>
      <c r="V1" s="18" t="s">
        <v>97</v>
      </c>
      <c r="W1" s="18">
        <v>0</v>
      </c>
      <c r="X1" s="28">
        <v>25</v>
      </c>
      <c r="Y1" s="18" t="s">
        <v>98</v>
      </c>
      <c r="Z1" s="18" t="s">
        <v>97</v>
      </c>
      <c r="AA1" s="18" t="s">
        <v>93</v>
      </c>
      <c r="AB1" s="18" t="s">
        <v>97</v>
      </c>
      <c r="AC1" s="18" t="s">
        <v>93</v>
      </c>
      <c r="AD1" s="18" t="s">
        <v>97</v>
      </c>
      <c r="AE1" s="20" t="s">
        <v>99</v>
      </c>
      <c r="AF1" s="21" t="s">
        <v>93</v>
      </c>
      <c r="AG1" s="18" t="s">
        <v>100</v>
      </c>
      <c r="AH1" s="18"/>
      <c r="AI1" s="22"/>
      <c r="AJ1" s="22">
        <v>294</v>
      </c>
      <c r="AK1" s="29">
        <f>M1/X1</f>
        <v>0.6</v>
      </c>
      <c r="AL1" s="18" t="b">
        <f>OR(AK1&gt;1.5,AK1&lt;0.8)</f>
        <v>1</v>
      </c>
      <c r="AM1" s="23"/>
      <c r="AN1" s="23"/>
      <c r="AO1" s="18" t="e">
        <f>M1/AN1</f>
        <v>#DIV/0!</v>
      </c>
      <c r="AP1" s="18" t="e">
        <f>OR(AO1&gt;1.5,AO1&lt;0.8)</f>
        <v>#DIV/0!</v>
      </c>
      <c r="AQ1" s="23" t="b">
        <f t="shared" ref="AQ1" si="0">OR(AK1&gt;1.5,AK1&lt;0.8,V1="N",L1&gt;0.01)</f>
        <v>1</v>
      </c>
      <c r="AR1" s="18" t="b">
        <f>AND(J1="Span Bridge", AK1&gt;1)</f>
        <v>0</v>
      </c>
      <c r="AS1" s="19" t="s">
        <v>39</v>
      </c>
      <c r="AT1" s="19" t="b">
        <f>AND(L1=0,AK1&gt;0.8,AK1&lt;1.5,V1="N",AD1="N")</f>
        <v>0</v>
      </c>
      <c r="AU1" s="18" t="b">
        <f t="shared" ref="AU1" si="1">AND(AQ1=TRUE,AR1=FALSE,AT1=FALSE)</f>
        <v>1</v>
      </c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</row>
    <row r="2" spans="1:84" s="2" customFormat="1" x14ac:dyDescent="0.25">
      <c r="A2" s="10">
        <v>10</v>
      </c>
      <c r="B2" s="18" t="s">
        <v>129</v>
      </c>
      <c r="C2" s="19" t="s">
        <v>138</v>
      </c>
      <c r="D2" s="10">
        <v>1.53</v>
      </c>
      <c r="E2" s="10"/>
      <c r="F2" s="18" t="s">
        <v>127</v>
      </c>
      <c r="G2" s="10">
        <v>42542</v>
      </c>
      <c r="H2" s="18" t="s">
        <v>127</v>
      </c>
      <c r="I2" s="18" t="s">
        <v>127</v>
      </c>
      <c r="J2" s="10" t="s">
        <v>92</v>
      </c>
      <c r="K2" s="10"/>
      <c r="L2" s="10">
        <v>0</v>
      </c>
      <c r="M2" s="10">
        <v>10</v>
      </c>
      <c r="N2" s="10" t="s">
        <v>93</v>
      </c>
      <c r="O2" s="10" t="s">
        <v>94</v>
      </c>
      <c r="P2" s="10" t="s">
        <v>107</v>
      </c>
      <c r="Q2" s="10" t="s">
        <v>96</v>
      </c>
      <c r="R2" s="10">
        <v>176</v>
      </c>
      <c r="S2" s="10">
        <v>10</v>
      </c>
      <c r="T2" s="10">
        <v>6</v>
      </c>
      <c r="U2" s="10"/>
      <c r="V2" s="10" t="s">
        <v>97</v>
      </c>
      <c r="W2" s="10">
        <v>0</v>
      </c>
      <c r="X2" s="10">
        <v>19</v>
      </c>
      <c r="Y2" s="10" t="s">
        <v>98</v>
      </c>
      <c r="Z2" s="10" t="s">
        <v>97</v>
      </c>
      <c r="AA2" s="10" t="s">
        <v>97</v>
      </c>
      <c r="AB2" s="10" t="s">
        <v>93</v>
      </c>
      <c r="AC2" s="10" t="s">
        <v>97</v>
      </c>
      <c r="AD2" s="10" t="s">
        <v>97</v>
      </c>
      <c r="AE2" s="10" t="s">
        <v>108</v>
      </c>
      <c r="AF2" s="10" t="s">
        <v>97</v>
      </c>
      <c r="AG2" s="10" t="s">
        <v>105</v>
      </c>
      <c r="AH2" s="10"/>
      <c r="AI2" s="10"/>
      <c r="AJ2" s="10">
        <v>2425</v>
      </c>
      <c r="AK2" s="29">
        <f t="shared" ref="AK2" si="2">M2/X2</f>
        <v>0.52631578947368418</v>
      </c>
      <c r="AL2" s="18" t="b">
        <f t="shared" ref="AL2" si="3">OR(AK2&gt;1.5,AK2&lt;0.8)</f>
        <v>1</v>
      </c>
      <c r="AM2" s="10"/>
      <c r="AN2" s="10"/>
      <c r="AO2" s="18" t="e">
        <f t="shared" ref="AO2" si="4">M2/AN2</f>
        <v>#DIV/0!</v>
      </c>
      <c r="AP2" s="18" t="e">
        <f t="shared" ref="AP2" si="5">OR(AO2&gt;1.5,AO2&lt;0.8)</f>
        <v>#DIV/0!</v>
      </c>
      <c r="AQ2" s="23" t="b">
        <f t="shared" ref="AQ2" si="6">OR(AK2&gt;1.5,AK2&lt;0.8,V2="N",L2&gt;0.01)</f>
        <v>1</v>
      </c>
      <c r="AR2" s="18" t="b">
        <f t="shared" ref="AR2" si="7">AND(J2="Span Bridge", AK2&gt;1)</f>
        <v>0</v>
      </c>
      <c r="AS2" s="10" t="s">
        <v>40</v>
      </c>
      <c r="AT2" s="19" t="b">
        <f t="shared" ref="AT2" si="8">AND(L2=0,AK2&gt;0.8,AK2&lt;1.5,V2="N",AD2="N")</f>
        <v>0</v>
      </c>
      <c r="AU2" s="18" t="b">
        <f t="shared" ref="AU2" si="9">AND(AQ2=TRUE,AR2=FALSE,AT2=FALSE)</f>
        <v>1</v>
      </c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</row>
    <row r="3" spans="1:84" s="2" customFormat="1" x14ac:dyDescent="0.25">
      <c r="A3" s="10">
        <v>13</v>
      </c>
      <c r="B3" s="18" t="s">
        <v>129</v>
      </c>
      <c r="C3" s="19" t="s">
        <v>141</v>
      </c>
      <c r="D3" s="10">
        <v>1.99</v>
      </c>
      <c r="E3" s="10"/>
      <c r="F3" s="18" t="s">
        <v>127</v>
      </c>
      <c r="G3" s="10">
        <v>42542</v>
      </c>
      <c r="H3" s="18" t="s">
        <v>127</v>
      </c>
      <c r="I3" s="18" t="s">
        <v>127</v>
      </c>
      <c r="J3" s="10" t="s">
        <v>92</v>
      </c>
      <c r="K3" s="10"/>
      <c r="L3" s="10">
        <v>0</v>
      </c>
      <c r="M3" s="10">
        <v>8</v>
      </c>
      <c r="N3" s="10" t="s">
        <v>93</v>
      </c>
      <c r="O3" s="10" t="s">
        <v>94</v>
      </c>
      <c r="P3" s="10" t="s">
        <v>107</v>
      </c>
      <c r="Q3" s="10" t="s">
        <v>96</v>
      </c>
      <c r="R3" s="10">
        <v>49</v>
      </c>
      <c r="S3" s="10">
        <v>8</v>
      </c>
      <c r="T3" s="10">
        <v>5</v>
      </c>
      <c r="U3" s="10"/>
      <c r="V3" s="10" t="s">
        <v>97</v>
      </c>
      <c r="W3" s="10">
        <v>0</v>
      </c>
      <c r="X3" s="10">
        <v>21</v>
      </c>
      <c r="Y3" s="10" t="s">
        <v>98</v>
      </c>
      <c r="Z3" s="10" t="s">
        <v>97</v>
      </c>
      <c r="AA3" s="10" t="s">
        <v>93</v>
      </c>
      <c r="AB3" s="10" t="s">
        <v>93</v>
      </c>
      <c r="AC3" s="10" t="s">
        <v>93</v>
      </c>
      <c r="AD3" s="10" t="s">
        <v>93</v>
      </c>
      <c r="AE3" s="10" t="s">
        <v>103</v>
      </c>
      <c r="AF3" s="10" t="s">
        <v>97</v>
      </c>
      <c r="AG3" s="10" t="s">
        <v>98</v>
      </c>
      <c r="AH3" s="10"/>
      <c r="AI3" s="10"/>
      <c r="AJ3" s="10">
        <v>204</v>
      </c>
      <c r="AK3" s="29">
        <f t="shared" ref="AK3:AK6" si="10">M3/X3</f>
        <v>0.38095238095238093</v>
      </c>
      <c r="AL3" s="18" t="b">
        <f t="shared" ref="AL3:AL6" si="11">OR(AK3&gt;1.5,AK3&lt;0.8)</f>
        <v>1</v>
      </c>
      <c r="AM3" s="10"/>
      <c r="AN3" s="10"/>
      <c r="AO3" s="18" t="e">
        <f t="shared" ref="AO3:AO6" si="12">M3/AN3</f>
        <v>#DIV/0!</v>
      </c>
      <c r="AP3" s="18" t="e">
        <f t="shared" ref="AP3:AP6" si="13">OR(AO3&gt;1.5,AO3&lt;0.8)</f>
        <v>#DIV/0!</v>
      </c>
      <c r="AQ3" s="23" t="b">
        <f t="shared" ref="AQ3:AQ7" si="14">OR(AK3&gt;1.5,AK3&lt;0.8,V3="N",L3&gt;0.01)</f>
        <v>1</v>
      </c>
      <c r="AR3" s="18" t="b">
        <f t="shared" ref="AR3:AR6" si="15">AND(J3="Span Bridge", AK3&gt;1)</f>
        <v>0</v>
      </c>
      <c r="AS3" s="10" t="s">
        <v>41</v>
      </c>
      <c r="AT3" s="19" t="b">
        <f t="shared" ref="AT3:AT6" si="16">AND(L3=0,AK3&gt;0.8,AK3&lt;1.5,V3="N",AD3="N")</f>
        <v>0</v>
      </c>
      <c r="AU3" s="18" t="b">
        <f t="shared" ref="AU3:AU7" si="17">AND(AQ3=TRUE,AR3=FALSE,AT3=FALSE)</f>
        <v>1</v>
      </c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</row>
    <row r="4" spans="1:84" s="2" customFormat="1" x14ac:dyDescent="0.25">
      <c r="A4" s="10">
        <v>14</v>
      </c>
      <c r="B4" s="18" t="s">
        <v>129</v>
      </c>
      <c r="C4" s="19" t="s">
        <v>142</v>
      </c>
      <c r="D4" s="10">
        <v>2.04</v>
      </c>
      <c r="E4" s="10"/>
      <c r="F4" s="18" t="s">
        <v>127</v>
      </c>
      <c r="G4" s="10">
        <v>42542</v>
      </c>
      <c r="H4" s="18" t="s">
        <v>127</v>
      </c>
      <c r="I4" s="18" t="s">
        <v>127</v>
      </c>
      <c r="J4" s="10" t="s">
        <v>92</v>
      </c>
      <c r="K4" s="10"/>
      <c r="L4" s="10">
        <v>0</v>
      </c>
      <c r="M4" s="10">
        <v>12</v>
      </c>
      <c r="N4" s="10" t="s">
        <v>93</v>
      </c>
      <c r="O4" s="10" t="s">
        <v>94</v>
      </c>
      <c r="P4" s="10" t="s">
        <v>107</v>
      </c>
      <c r="Q4" s="10" t="s">
        <v>96</v>
      </c>
      <c r="R4" s="10">
        <v>40</v>
      </c>
      <c r="S4" s="10">
        <v>12</v>
      </c>
      <c r="T4" s="10">
        <v>3</v>
      </c>
      <c r="U4" s="10"/>
      <c r="V4" s="10" t="s">
        <v>97</v>
      </c>
      <c r="W4" s="10">
        <v>0</v>
      </c>
      <c r="X4" s="10">
        <v>21</v>
      </c>
      <c r="Y4" s="10" t="s">
        <v>98</v>
      </c>
      <c r="Z4" s="10" t="s">
        <v>93</v>
      </c>
      <c r="AA4" s="10" t="s">
        <v>97</v>
      </c>
      <c r="AB4" s="10" t="s">
        <v>93</v>
      </c>
      <c r="AC4" s="10" t="s">
        <v>97</v>
      </c>
      <c r="AD4" s="10" t="s">
        <v>97</v>
      </c>
      <c r="AE4" s="10" t="s">
        <v>109</v>
      </c>
      <c r="AF4" s="10" t="s">
        <v>97</v>
      </c>
      <c r="AG4" s="10" t="s">
        <v>100</v>
      </c>
      <c r="AH4" s="10"/>
      <c r="AI4" s="10"/>
      <c r="AJ4" s="10">
        <v>55</v>
      </c>
      <c r="AK4" s="29">
        <f t="shared" si="10"/>
        <v>0.5714285714285714</v>
      </c>
      <c r="AL4" s="18" t="b">
        <f t="shared" si="11"/>
        <v>1</v>
      </c>
      <c r="AM4" s="10"/>
      <c r="AN4" s="10"/>
      <c r="AO4" s="18" t="e">
        <f t="shared" si="12"/>
        <v>#DIV/0!</v>
      </c>
      <c r="AP4" s="18" t="e">
        <f t="shared" si="13"/>
        <v>#DIV/0!</v>
      </c>
      <c r="AQ4" s="23" t="b">
        <f t="shared" si="14"/>
        <v>1</v>
      </c>
      <c r="AR4" s="18" t="b">
        <f t="shared" si="15"/>
        <v>0</v>
      </c>
      <c r="AS4" s="10" t="s">
        <v>41</v>
      </c>
      <c r="AT4" s="19" t="b">
        <f t="shared" si="16"/>
        <v>0</v>
      </c>
      <c r="AU4" s="18" t="b">
        <f t="shared" si="17"/>
        <v>1</v>
      </c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</row>
    <row r="5" spans="1:84" s="2" customFormat="1" x14ac:dyDescent="0.25">
      <c r="A5" s="10">
        <v>15</v>
      </c>
      <c r="B5" s="18" t="s">
        <v>129</v>
      </c>
      <c r="C5" s="19" t="s">
        <v>143</v>
      </c>
      <c r="D5" s="10">
        <v>2.0499999999999998</v>
      </c>
      <c r="E5" s="10">
        <v>1</v>
      </c>
      <c r="F5" s="18" t="s">
        <v>127</v>
      </c>
      <c r="G5" s="10">
        <v>42542</v>
      </c>
      <c r="H5" s="18" t="s">
        <v>127</v>
      </c>
      <c r="I5" s="18" t="s">
        <v>127</v>
      </c>
      <c r="J5" s="10" t="s">
        <v>92</v>
      </c>
      <c r="K5" s="10">
        <v>2</v>
      </c>
      <c r="L5" s="10">
        <v>0</v>
      </c>
      <c r="M5" s="10">
        <v>12</v>
      </c>
      <c r="N5" s="10" t="s">
        <v>93</v>
      </c>
      <c r="O5" s="10" t="s">
        <v>94</v>
      </c>
      <c r="P5" s="10" t="s">
        <v>110</v>
      </c>
      <c r="Q5" s="10" t="s">
        <v>111</v>
      </c>
      <c r="R5" s="10">
        <v>30</v>
      </c>
      <c r="S5" s="10">
        <v>6</v>
      </c>
      <c r="T5" s="10">
        <v>6</v>
      </c>
      <c r="U5" s="10"/>
      <c r="V5" s="10" t="s">
        <v>97</v>
      </c>
      <c r="W5" s="10">
        <v>0</v>
      </c>
      <c r="X5" s="10">
        <v>21</v>
      </c>
      <c r="Y5" s="10" t="s">
        <v>98</v>
      </c>
      <c r="Z5" s="10" t="s">
        <v>97</v>
      </c>
      <c r="AA5" s="10" t="s">
        <v>97</v>
      </c>
      <c r="AB5" s="10" t="s">
        <v>93</v>
      </c>
      <c r="AC5" s="10" t="s">
        <v>93</v>
      </c>
      <c r="AD5" s="10" t="s">
        <v>97</v>
      </c>
      <c r="AE5" s="10" t="s">
        <v>108</v>
      </c>
      <c r="AF5" s="10" t="s">
        <v>97</v>
      </c>
      <c r="AG5" s="10" t="s">
        <v>105</v>
      </c>
      <c r="AH5" s="10"/>
      <c r="AI5" s="10"/>
      <c r="AJ5" s="10">
        <v>855</v>
      </c>
      <c r="AK5" s="29">
        <f t="shared" si="10"/>
        <v>0.5714285714285714</v>
      </c>
      <c r="AL5" s="18" t="b">
        <f t="shared" si="11"/>
        <v>1</v>
      </c>
      <c r="AM5" s="10"/>
      <c r="AN5" s="10"/>
      <c r="AO5" s="18" t="e">
        <f t="shared" si="12"/>
        <v>#DIV/0!</v>
      </c>
      <c r="AP5" s="18" t="e">
        <f t="shared" si="13"/>
        <v>#DIV/0!</v>
      </c>
      <c r="AQ5" s="23" t="b">
        <f t="shared" si="14"/>
        <v>1</v>
      </c>
      <c r="AR5" s="18" t="b">
        <f t="shared" si="15"/>
        <v>0</v>
      </c>
      <c r="AS5" s="10" t="s">
        <v>41</v>
      </c>
      <c r="AT5" s="19" t="b">
        <f t="shared" si="16"/>
        <v>0</v>
      </c>
      <c r="AU5" s="18" t="b">
        <f t="shared" si="17"/>
        <v>1</v>
      </c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</row>
    <row r="6" spans="1:84" s="2" customFormat="1" x14ac:dyDescent="0.25">
      <c r="A6" s="10">
        <v>16</v>
      </c>
      <c r="B6" s="18" t="s">
        <v>129</v>
      </c>
      <c r="C6" s="19" t="s">
        <v>144</v>
      </c>
      <c r="D6" s="10">
        <v>2.0499999999999998</v>
      </c>
      <c r="E6" s="10">
        <v>2</v>
      </c>
      <c r="F6" s="18" t="s">
        <v>127</v>
      </c>
      <c r="G6" s="10">
        <v>42542</v>
      </c>
      <c r="H6" s="18" t="s">
        <v>127</v>
      </c>
      <c r="I6" s="18" t="s">
        <v>127</v>
      </c>
      <c r="J6" s="10" t="s">
        <v>92</v>
      </c>
      <c r="K6" s="10">
        <v>2</v>
      </c>
      <c r="L6" s="10">
        <v>0</v>
      </c>
      <c r="M6" s="10">
        <v>12</v>
      </c>
      <c r="N6" s="10" t="s">
        <v>93</v>
      </c>
      <c r="O6" s="10" t="s">
        <v>104</v>
      </c>
      <c r="P6" s="10" t="s">
        <v>110</v>
      </c>
      <c r="Q6" s="10" t="s">
        <v>111</v>
      </c>
      <c r="R6" s="10">
        <v>30</v>
      </c>
      <c r="S6" s="10">
        <v>6</v>
      </c>
      <c r="T6" s="10">
        <v>6</v>
      </c>
      <c r="U6" s="10"/>
      <c r="V6" s="10" t="s">
        <v>97</v>
      </c>
      <c r="W6" s="10">
        <v>0.3</v>
      </c>
      <c r="X6" s="10">
        <v>21</v>
      </c>
      <c r="Y6" s="10" t="s">
        <v>98</v>
      </c>
      <c r="Z6" s="10" t="s">
        <v>97</v>
      </c>
      <c r="AA6" s="10" t="s">
        <v>97</v>
      </c>
      <c r="AB6" s="10" t="s">
        <v>93</v>
      </c>
      <c r="AC6" s="10" t="s">
        <v>93</v>
      </c>
      <c r="AD6" s="10" t="s">
        <v>97</v>
      </c>
      <c r="AE6" s="10" t="s">
        <v>108</v>
      </c>
      <c r="AF6" s="10" t="s">
        <v>97</v>
      </c>
      <c r="AG6" s="10" t="s">
        <v>105</v>
      </c>
      <c r="AH6" s="10"/>
      <c r="AI6" s="10"/>
      <c r="AJ6" s="10">
        <v>855</v>
      </c>
      <c r="AK6" s="29">
        <f t="shared" si="10"/>
        <v>0.5714285714285714</v>
      </c>
      <c r="AL6" s="18" t="b">
        <f t="shared" si="11"/>
        <v>1</v>
      </c>
      <c r="AM6" s="10"/>
      <c r="AN6" s="10"/>
      <c r="AO6" s="18" t="e">
        <f t="shared" si="12"/>
        <v>#DIV/0!</v>
      </c>
      <c r="AP6" s="18" t="e">
        <f t="shared" si="13"/>
        <v>#DIV/0!</v>
      </c>
      <c r="AQ6" s="23" t="b">
        <f t="shared" si="14"/>
        <v>1</v>
      </c>
      <c r="AR6" s="18" t="b">
        <f t="shared" si="15"/>
        <v>0</v>
      </c>
      <c r="AS6" s="10" t="s">
        <v>41</v>
      </c>
      <c r="AT6" s="19" t="b">
        <f t="shared" si="16"/>
        <v>0</v>
      </c>
      <c r="AU6" s="18" t="b">
        <f t="shared" si="17"/>
        <v>1</v>
      </c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</row>
    <row r="7" spans="1:84" s="25" customFormat="1" x14ac:dyDescent="0.25">
      <c r="A7" s="18">
        <v>1</v>
      </c>
      <c r="B7" s="18" t="s">
        <v>129</v>
      </c>
      <c r="C7" s="19" t="s">
        <v>128</v>
      </c>
      <c r="D7" s="19">
        <v>0.1</v>
      </c>
      <c r="E7" s="18"/>
      <c r="F7" s="18" t="s">
        <v>127</v>
      </c>
      <c r="G7" s="18">
        <v>42542</v>
      </c>
      <c r="H7" s="18" t="s">
        <v>127</v>
      </c>
      <c r="I7" s="18" t="s">
        <v>127</v>
      </c>
      <c r="J7" s="18" t="s">
        <v>92</v>
      </c>
      <c r="K7" s="18"/>
      <c r="L7" s="18">
        <v>0</v>
      </c>
      <c r="M7" s="18">
        <v>15</v>
      </c>
      <c r="N7" s="18" t="s">
        <v>93</v>
      </c>
      <c r="O7" s="18" t="s">
        <v>94</v>
      </c>
      <c r="P7" s="18" t="s">
        <v>95</v>
      </c>
      <c r="Q7" s="18" t="s">
        <v>96</v>
      </c>
      <c r="R7" s="18">
        <v>134</v>
      </c>
      <c r="S7" s="18">
        <v>15</v>
      </c>
      <c r="T7" s="18">
        <v>15</v>
      </c>
      <c r="U7" s="18"/>
      <c r="V7" s="18" t="s">
        <v>97</v>
      </c>
      <c r="W7" s="18">
        <v>0</v>
      </c>
      <c r="X7" s="28">
        <v>25</v>
      </c>
      <c r="Y7" s="18" t="s">
        <v>98</v>
      </c>
      <c r="Z7" s="18" t="s">
        <v>97</v>
      </c>
      <c r="AA7" s="18" t="s">
        <v>93</v>
      </c>
      <c r="AB7" s="18" t="s">
        <v>97</v>
      </c>
      <c r="AC7" s="18" t="s">
        <v>93</v>
      </c>
      <c r="AD7" s="18" t="s">
        <v>97</v>
      </c>
      <c r="AE7" s="20" t="s">
        <v>99</v>
      </c>
      <c r="AF7" s="21" t="s">
        <v>93</v>
      </c>
      <c r="AG7" s="18" t="s">
        <v>100</v>
      </c>
      <c r="AH7" s="18"/>
      <c r="AI7" s="22"/>
      <c r="AJ7" s="22">
        <v>294</v>
      </c>
      <c r="AK7" s="29">
        <f>M7/X7</f>
        <v>0.6</v>
      </c>
      <c r="AL7" s="18" t="b">
        <f>OR(AK7&gt;1.5,AK7&lt;0.8)</f>
        <v>1</v>
      </c>
      <c r="AM7" s="23"/>
      <c r="AN7" s="23"/>
      <c r="AO7" s="18" t="e">
        <f>M7/AN7</f>
        <v>#DIV/0!</v>
      </c>
      <c r="AP7" s="18" t="e">
        <f>OR(AO7&gt;1.5,AO7&lt;0.8)</f>
        <v>#DIV/0!</v>
      </c>
      <c r="AQ7" s="23" t="b">
        <f t="shared" si="14"/>
        <v>1</v>
      </c>
      <c r="AR7" s="18" t="b">
        <f>AND(J7="Span Bridge", AK7&gt;1)</f>
        <v>0</v>
      </c>
      <c r="AS7" s="19" t="s">
        <v>39</v>
      </c>
      <c r="AT7" s="19" t="b">
        <f>AND(L7=0,AK7&gt;0.8,AK7&lt;1.5,V7="N",AD7="N")</f>
        <v>0</v>
      </c>
      <c r="AU7" s="18" t="b">
        <f t="shared" si="17"/>
        <v>1</v>
      </c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2" customFormat="1" x14ac:dyDescent="0.25">
      <c r="A8" s="10">
        <v>19</v>
      </c>
      <c r="B8" s="18" t="s">
        <v>129</v>
      </c>
      <c r="C8" s="19" t="s">
        <v>147</v>
      </c>
      <c r="D8" s="10">
        <v>2.23</v>
      </c>
      <c r="E8" s="10">
        <v>2</v>
      </c>
      <c r="F8" s="18" t="s">
        <v>127</v>
      </c>
      <c r="G8" s="10">
        <v>42542</v>
      </c>
      <c r="H8" s="18" t="s">
        <v>127</v>
      </c>
      <c r="I8" s="18" t="s">
        <v>127</v>
      </c>
      <c r="J8" s="10" t="s">
        <v>92</v>
      </c>
      <c r="K8" s="10">
        <v>2</v>
      </c>
      <c r="L8" s="10">
        <v>0</v>
      </c>
      <c r="M8" s="10">
        <v>12</v>
      </c>
      <c r="N8" s="10" t="s">
        <v>97</v>
      </c>
      <c r="O8" s="10" t="s">
        <v>104</v>
      </c>
      <c r="P8" s="10" t="s">
        <v>110</v>
      </c>
      <c r="Q8" s="10" t="s">
        <v>111</v>
      </c>
      <c r="R8" s="10">
        <v>61</v>
      </c>
      <c r="S8" s="10">
        <v>6</v>
      </c>
      <c r="T8" s="10">
        <v>6</v>
      </c>
      <c r="U8" s="10"/>
      <c r="V8" s="10" t="s">
        <v>97</v>
      </c>
      <c r="W8" s="10">
        <v>0.25</v>
      </c>
      <c r="X8" s="10">
        <v>19</v>
      </c>
      <c r="Y8" s="10" t="s">
        <v>98</v>
      </c>
      <c r="Z8" s="10" t="s">
        <v>97</v>
      </c>
      <c r="AA8" s="10" t="s">
        <v>93</v>
      </c>
      <c r="AB8" s="10" t="s">
        <v>93</v>
      </c>
      <c r="AC8" s="10" t="s">
        <v>93</v>
      </c>
      <c r="AD8" s="10" t="s">
        <v>97</v>
      </c>
      <c r="AE8" s="10" t="s">
        <v>112</v>
      </c>
      <c r="AF8" s="10" t="s">
        <v>97</v>
      </c>
      <c r="AG8" s="10" t="s">
        <v>105</v>
      </c>
      <c r="AH8" s="10"/>
      <c r="AI8" s="10"/>
      <c r="AJ8" s="10">
        <v>1130</v>
      </c>
      <c r="AK8" s="29">
        <f t="shared" ref="AK8" si="18">M8/X8</f>
        <v>0.63157894736842102</v>
      </c>
      <c r="AL8" s="18" t="b">
        <f t="shared" ref="AL8" si="19">OR(AK8&gt;1.5,AK8&lt;0.8)</f>
        <v>1</v>
      </c>
      <c r="AM8" s="10"/>
      <c r="AN8" s="10"/>
      <c r="AO8" s="18" t="e">
        <f t="shared" ref="AO8" si="20">M8/AN8</f>
        <v>#DIV/0!</v>
      </c>
      <c r="AP8" s="18" t="e">
        <f t="shared" ref="AP8" si="21">OR(AO8&gt;1.5,AO8&lt;0.8)</f>
        <v>#DIV/0!</v>
      </c>
      <c r="AQ8" s="23" t="b">
        <f t="shared" ref="AQ8" si="22">OR(AK8&gt;1.5,AK8&lt;0.8,V8="N",L8&gt;0.01)</f>
        <v>1</v>
      </c>
      <c r="AR8" s="18" t="b">
        <f t="shared" ref="AR8" si="23">AND(J8="Span Bridge", AK8&gt;1)</f>
        <v>0</v>
      </c>
      <c r="AS8" s="10" t="s">
        <v>41</v>
      </c>
      <c r="AT8" s="19" t="b">
        <f t="shared" ref="AT8" si="24">AND(L8=0,AK8&gt;0.8,AK8&lt;1.5,V8="N",AD8="N")</f>
        <v>0</v>
      </c>
      <c r="AU8" s="18" t="b">
        <f t="shared" ref="AU8" si="25">AND(AQ8=TRUE,AR8=FALSE,AT8=FALSE)</f>
        <v>1</v>
      </c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</row>
    <row r="9" spans="1:84" s="2" customFormat="1" x14ac:dyDescent="0.25">
      <c r="A9" s="10">
        <v>21</v>
      </c>
      <c r="B9" s="18" t="s">
        <v>129</v>
      </c>
      <c r="C9" s="19" t="s">
        <v>149</v>
      </c>
      <c r="D9" s="10">
        <v>2.56</v>
      </c>
      <c r="E9" s="10">
        <v>1</v>
      </c>
      <c r="F9" s="18" t="s">
        <v>127</v>
      </c>
      <c r="G9" s="10">
        <v>42542</v>
      </c>
      <c r="H9" s="18" t="s">
        <v>127</v>
      </c>
      <c r="I9" s="18" t="s">
        <v>127</v>
      </c>
      <c r="J9" s="10" t="s">
        <v>92</v>
      </c>
      <c r="K9" s="10">
        <v>2</v>
      </c>
      <c r="L9" s="10">
        <v>0</v>
      </c>
      <c r="M9" s="10">
        <v>16</v>
      </c>
      <c r="N9" s="10" t="s">
        <v>97</v>
      </c>
      <c r="O9" s="10" t="s">
        <v>94</v>
      </c>
      <c r="P9" s="10" t="s">
        <v>113</v>
      </c>
      <c r="Q9" s="10" t="s">
        <v>111</v>
      </c>
      <c r="R9" s="10">
        <v>40</v>
      </c>
      <c r="S9" s="10">
        <v>8</v>
      </c>
      <c r="T9" s="10">
        <v>6</v>
      </c>
      <c r="U9" s="10"/>
      <c r="V9" s="10" t="s">
        <v>97</v>
      </c>
      <c r="W9" s="10">
        <v>0.2</v>
      </c>
      <c r="X9" s="10">
        <v>23</v>
      </c>
      <c r="Y9" s="10" t="s">
        <v>100</v>
      </c>
      <c r="Z9" s="10" t="s">
        <v>93</v>
      </c>
      <c r="AA9" s="10" t="s">
        <v>93</v>
      </c>
      <c r="AB9" s="10" t="s">
        <v>97</v>
      </c>
      <c r="AC9" s="10" t="s">
        <v>93</v>
      </c>
      <c r="AD9" s="10" t="s">
        <v>97</v>
      </c>
      <c r="AE9" s="10" t="s">
        <v>109</v>
      </c>
      <c r="AF9" s="10" t="s">
        <v>93</v>
      </c>
      <c r="AG9" s="10" t="s">
        <v>100</v>
      </c>
      <c r="AH9" s="10"/>
      <c r="AI9" s="10"/>
      <c r="AJ9" s="10">
        <v>2732</v>
      </c>
      <c r="AK9" s="29">
        <f t="shared" ref="AK9:AK13" si="26">M9/X9</f>
        <v>0.69565217391304346</v>
      </c>
      <c r="AL9" s="18" t="b">
        <f t="shared" ref="AL9:AL13" si="27">OR(AK9&gt;1.5,AK9&lt;0.8)</f>
        <v>1</v>
      </c>
      <c r="AM9" s="10"/>
      <c r="AN9" s="10"/>
      <c r="AO9" s="18" t="e">
        <f t="shared" ref="AO9:AO13" si="28">M9/AN9</f>
        <v>#DIV/0!</v>
      </c>
      <c r="AP9" s="18" t="e">
        <f t="shared" ref="AP9:AP13" si="29">OR(AO9&gt;1.5,AO9&lt;0.8)</f>
        <v>#DIV/0!</v>
      </c>
      <c r="AQ9" s="23" t="b">
        <f t="shared" ref="AQ9:AQ13" si="30">OR(AK9&gt;1.5,AK9&lt;0.8,V9="N",L9&gt;0.01)</f>
        <v>1</v>
      </c>
      <c r="AR9" s="18" t="b">
        <f t="shared" ref="AR9:AR13" si="31">AND(J9="Span Bridge", AK9&gt;1)</f>
        <v>0</v>
      </c>
      <c r="AS9" s="10" t="s">
        <v>41</v>
      </c>
      <c r="AT9" s="19" t="b">
        <f t="shared" ref="AT9:AT13" si="32">AND(L9=0,AK9&gt;0.8,AK9&lt;1.5,V9="N",AD9="N")</f>
        <v>0</v>
      </c>
      <c r="AU9" s="18" t="b">
        <f t="shared" ref="AU9:AU13" si="33">AND(AQ9=TRUE,AR9=FALSE,AT9=FALSE)</f>
        <v>1</v>
      </c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</row>
    <row r="10" spans="1:84" s="2" customFormat="1" x14ac:dyDescent="0.25">
      <c r="A10" s="10">
        <v>22</v>
      </c>
      <c r="B10" s="18" t="s">
        <v>129</v>
      </c>
      <c r="C10" s="19" t="s">
        <v>150</v>
      </c>
      <c r="D10" s="10">
        <v>2.56</v>
      </c>
      <c r="E10" s="10">
        <v>2</v>
      </c>
      <c r="F10" s="18" t="s">
        <v>127</v>
      </c>
      <c r="G10" s="10">
        <v>42542</v>
      </c>
      <c r="H10" s="18" t="s">
        <v>127</v>
      </c>
      <c r="I10" s="18" t="s">
        <v>127</v>
      </c>
      <c r="J10" s="10" t="s">
        <v>92</v>
      </c>
      <c r="K10" s="10">
        <v>2</v>
      </c>
      <c r="L10" s="10">
        <v>0</v>
      </c>
      <c r="M10" s="10">
        <v>16</v>
      </c>
      <c r="N10" s="10" t="s">
        <v>97</v>
      </c>
      <c r="O10" s="10" t="s">
        <v>94</v>
      </c>
      <c r="P10" s="10" t="s">
        <v>113</v>
      </c>
      <c r="Q10" s="10" t="s">
        <v>111</v>
      </c>
      <c r="R10" s="10">
        <v>40</v>
      </c>
      <c r="S10" s="10">
        <v>8</v>
      </c>
      <c r="T10" s="10">
        <v>6</v>
      </c>
      <c r="U10" s="10"/>
      <c r="V10" s="10" t="s">
        <v>97</v>
      </c>
      <c r="W10" s="10">
        <v>0</v>
      </c>
      <c r="X10" s="10">
        <v>23</v>
      </c>
      <c r="Y10" s="10" t="s">
        <v>100</v>
      </c>
      <c r="Z10" s="10" t="s">
        <v>93</v>
      </c>
      <c r="AA10" s="10" t="s">
        <v>93</v>
      </c>
      <c r="AB10" s="10" t="s">
        <v>97</v>
      </c>
      <c r="AC10" s="10" t="s">
        <v>93</v>
      </c>
      <c r="AD10" s="10" t="s">
        <v>97</v>
      </c>
      <c r="AE10" s="10" t="s">
        <v>109</v>
      </c>
      <c r="AF10" s="10" t="s">
        <v>93</v>
      </c>
      <c r="AG10" s="10" t="s">
        <v>100</v>
      </c>
      <c r="AH10" s="10"/>
      <c r="AI10" s="10"/>
      <c r="AJ10" s="10">
        <v>2732</v>
      </c>
      <c r="AK10" s="29">
        <f t="shared" si="26"/>
        <v>0.69565217391304346</v>
      </c>
      <c r="AL10" s="18" t="b">
        <f t="shared" si="27"/>
        <v>1</v>
      </c>
      <c r="AM10" s="10"/>
      <c r="AN10" s="10"/>
      <c r="AO10" s="18" t="e">
        <f t="shared" si="28"/>
        <v>#DIV/0!</v>
      </c>
      <c r="AP10" s="18" t="e">
        <f t="shared" si="29"/>
        <v>#DIV/0!</v>
      </c>
      <c r="AQ10" s="23" t="b">
        <f t="shared" si="30"/>
        <v>1</v>
      </c>
      <c r="AR10" s="18" t="b">
        <f t="shared" si="31"/>
        <v>0</v>
      </c>
      <c r="AS10" s="10" t="s">
        <v>41</v>
      </c>
      <c r="AT10" s="19" t="b">
        <f t="shared" si="32"/>
        <v>0</v>
      </c>
      <c r="AU10" s="18" t="b">
        <f t="shared" si="33"/>
        <v>1</v>
      </c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</row>
    <row r="11" spans="1:84" s="6" customFormat="1" x14ac:dyDescent="0.25">
      <c r="A11" s="10">
        <v>23</v>
      </c>
      <c r="B11" s="18" t="s">
        <v>129</v>
      </c>
      <c r="C11" s="19" t="s">
        <v>151</v>
      </c>
      <c r="D11" s="10">
        <v>2.67</v>
      </c>
      <c r="E11" s="10">
        <v>1</v>
      </c>
      <c r="F11" s="18" t="s">
        <v>127</v>
      </c>
      <c r="G11" s="10">
        <v>42544</v>
      </c>
      <c r="H11" s="18" t="s">
        <v>127</v>
      </c>
      <c r="I11" s="18" t="s">
        <v>127</v>
      </c>
      <c r="J11" s="10" t="s">
        <v>92</v>
      </c>
      <c r="K11" s="10">
        <v>3</v>
      </c>
      <c r="L11" s="10">
        <v>0</v>
      </c>
      <c r="M11" s="10">
        <v>16.5</v>
      </c>
      <c r="N11" s="10" t="s">
        <v>97</v>
      </c>
      <c r="O11" s="10" t="s">
        <v>94</v>
      </c>
      <c r="P11" s="10" t="s">
        <v>95</v>
      </c>
      <c r="Q11" s="10" t="s">
        <v>111</v>
      </c>
      <c r="R11" s="10">
        <v>53</v>
      </c>
      <c r="S11" s="10">
        <v>5.5</v>
      </c>
      <c r="T11" s="10">
        <v>5.5</v>
      </c>
      <c r="U11" s="10"/>
      <c r="V11" s="10" t="s">
        <v>93</v>
      </c>
      <c r="W11" s="10">
        <v>0</v>
      </c>
      <c r="X11" s="10">
        <v>19</v>
      </c>
      <c r="Y11" s="10" t="s">
        <v>105</v>
      </c>
      <c r="Z11" s="10" t="s">
        <v>93</v>
      </c>
      <c r="AA11" s="10" t="s">
        <v>93</v>
      </c>
      <c r="AB11" s="10" t="s">
        <v>97</v>
      </c>
      <c r="AC11" s="10" t="s">
        <v>93</v>
      </c>
      <c r="AD11" s="10" t="s">
        <v>97</v>
      </c>
      <c r="AE11" s="10" t="s">
        <v>109</v>
      </c>
      <c r="AF11" s="10" t="s">
        <v>97</v>
      </c>
      <c r="AG11" s="10" t="s">
        <v>98</v>
      </c>
      <c r="AH11" s="10"/>
      <c r="AI11" s="10"/>
      <c r="AJ11" s="10">
        <v>2115</v>
      </c>
      <c r="AK11" s="29">
        <f t="shared" si="26"/>
        <v>0.86842105263157898</v>
      </c>
      <c r="AL11" s="18" t="b">
        <f t="shared" si="27"/>
        <v>0</v>
      </c>
      <c r="AM11" s="10"/>
      <c r="AN11" s="10"/>
      <c r="AO11" s="18" t="e">
        <f t="shared" si="28"/>
        <v>#DIV/0!</v>
      </c>
      <c r="AP11" s="18" t="e">
        <f t="shared" si="29"/>
        <v>#DIV/0!</v>
      </c>
      <c r="AQ11" s="23" t="b">
        <f t="shared" si="30"/>
        <v>1</v>
      </c>
      <c r="AR11" s="18" t="b">
        <f t="shared" si="31"/>
        <v>0</v>
      </c>
      <c r="AS11" s="10" t="s">
        <v>42</v>
      </c>
      <c r="AT11" s="19" t="b">
        <f t="shared" si="32"/>
        <v>0</v>
      </c>
      <c r="AU11" s="18" t="b">
        <f t="shared" si="33"/>
        <v>1</v>
      </c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</row>
    <row r="12" spans="1:84" s="6" customFormat="1" x14ac:dyDescent="0.25">
      <c r="A12" s="10">
        <v>24</v>
      </c>
      <c r="B12" s="18" t="s">
        <v>129</v>
      </c>
      <c r="C12" s="19" t="s">
        <v>152</v>
      </c>
      <c r="D12" s="10">
        <v>2.67</v>
      </c>
      <c r="E12" s="10">
        <v>2</v>
      </c>
      <c r="F12" s="18" t="s">
        <v>127</v>
      </c>
      <c r="G12" s="10">
        <v>42544</v>
      </c>
      <c r="H12" s="18" t="s">
        <v>127</v>
      </c>
      <c r="I12" s="18" t="s">
        <v>127</v>
      </c>
      <c r="J12" s="10" t="s">
        <v>92</v>
      </c>
      <c r="K12" s="10">
        <v>3</v>
      </c>
      <c r="L12" s="10">
        <v>0</v>
      </c>
      <c r="M12" s="10">
        <v>16.5</v>
      </c>
      <c r="N12" s="10" t="s">
        <v>97</v>
      </c>
      <c r="O12" s="10" t="s">
        <v>94</v>
      </c>
      <c r="P12" s="10" t="s">
        <v>95</v>
      </c>
      <c r="Q12" s="10" t="s">
        <v>111</v>
      </c>
      <c r="R12" s="10">
        <v>53</v>
      </c>
      <c r="S12" s="10">
        <v>5.5</v>
      </c>
      <c r="T12" s="10">
        <v>5.5</v>
      </c>
      <c r="U12" s="10"/>
      <c r="V12" s="10" t="s">
        <v>93</v>
      </c>
      <c r="W12" s="10">
        <v>0</v>
      </c>
      <c r="X12" s="10">
        <v>19</v>
      </c>
      <c r="Y12" s="10" t="s">
        <v>105</v>
      </c>
      <c r="Z12" s="10" t="s">
        <v>93</v>
      </c>
      <c r="AA12" s="10" t="s">
        <v>93</v>
      </c>
      <c r="AB12" s="10" t="s">
        <v>97</v>
      </c>
      <c r="AC12" s="10" t="s">
        <v>93</v>
      </c>
      <c r="AD12" s="10" t="s">
        <v>97</v>
      </c>
      <c r="AE12" s="10" t="s">
        <v>109</v>
      </c>
      <c r="AF12" s="10" t="s">
        <v>97</v>
      </c>
      <c r="AG12" s="10" t="s">
        <v>98</v>
      </c>
      <c r="AH12" s="10"/>
      <c r="AI12" s="10"/>
      <c r="AJ12" s="10">
        <v>2115</v>
      </c>
      <c r="AK12" s="29">
        <f t="shared" si="26"/>
        <v>0.86842105263157898</v>
      </c>
      <c r="AL12" s="18" t="b">
        <f t="shared" si="27"/>
        <v>0</v>
      </c>
      <c r="AM12" s="10"/>
      <c r="AN12" s="10"/>
      <c r="AO12" s="18" t="e">
        <f t="shared" si="28"/>
        <v>#DIV/0!</v>
      </c>
      <c r="AP12" s="18" t="e">
        <f t="shared" si="29"/>
        <v>#DIV/0!</v>
      </c>
      <c r="AQ12" s="23" t="b">
        <f t="shared" si="30"/>
        <v>1</v>
      </c>
      <c r="AR12" s="18" t="b">
        <f t="shared" si="31"/>
        <v>0</v>
      </c>
      <c r="AS12" s="10" t="s">
        <v>42</v>
      </c>
      <c r="AT12" s="19" t="b">
        <f t="shared" si="32"/>
        <v>0</v>
      </c>
      <c r="AU12" s="18" t="b">
        <f t="shared" si="33"/>
        <v>1</v>
      </c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</row>
    <row r="13" spans="1:84" s="6" customFormat="1" x14ac:dyDescent="0.25">
      <c r="A13" s="10">
        <v>25</v>
      </c>
      <c r="B13" s="18" t="s">
        <v>129</v>
      </c>
      <c r="C13" s="19" t="s">
        <v>153</v>
      </c>
      <c r="D13" s="10">
        <v>2.67</v>
      </c>
      <c r="E13" s="10">
        <v>3</v>
      </c>
      <c r="F13" s="18" t="s">
        <v>127</v>
      </c>
      <c r="G13" s="10">
        <v>42544</v>
      </c>
      <c r="H13" s="18" t="s">
        <v>127</v>
      </c>
      <c r="I13" s="18" t="s">
        <v>127</v>
      </c>
      <c r="J13" s="10" t="s">
        <v>92</v>
      </c>
      <c r="K13" s="10">
        <v>3</v>
      </c>
      <c r="L13" s="10">
        <v>0</v>
      </c>
      <c r="M13" s="10">
        <v>16.5</v>
      </c>
      <c r="N13" s="10" t="s">
        <v>97</v>
      </c>
      <c r="O13" s="10" t="s">
        <v>94</v>
      </c>
      <c r="P13" s="10" t="s">
        <v>95</v>
      </c>
      <c r="Q13" s="10" t="s">
        <v>111</v>
      </c>
      <c r="R13" s="10">
        <v>53</v>
      </c>
      <c r="S13" s="10">
        <v>5.5</v>
      </c>
      <c r="T13" s="10">
        <v>5.5</v>
      </c>
      <c r="U13" s="10"/>
      <c r="V13" s="10" t="s">
        <v>93</v>
      </c>
      <c r="W13" s="10">
        <v>0</v>
      </c>
      <c r="X13" s="10">
        <v>19</v>
      </c>
      <c r="Y13" s="10" t="s">
        <v>105</v>
      </c>
      <c r="Z13" s="10" t="s">
        <v>93</v>
      </c>
      <c r="AA13" s="10" t="s">
        <v>93</v>
      </c>
      <c r="AB13" s="10" t="s">
        <v>97</v>
      </c>
      <c r="AC13" s="10" t="s">
        <v>93</v>
      </c>
      <c r="AD13" s="10" t="s">
        <v>97</v>
      </c>
      <c r="AE13" s="10" t="s">
        <v>109</v>
      </c>
      <c r="AF13" s="10" t="s">
        <v>97</v>
      </c>
      <c r="AG13" s="10" t="s">
        <v>98</v>
      </c>
      <c r="AH13" s="10"/>
      <c r="AI13" s="10"/>
      <c r="AJ13" s="10">
        <v>2115</v>
      </c>
      <c r="AK13" s="29">
        <f t="shared" si="26"/>
        <v>0.86842105263157898</v>
      </c>
      <c r="AL13" s="18" t="b">
        <f t="shared" si="27"/>
        <v>0</v>
      </c>
      <c r="AM13" s="10"/>
      <c r="AN13" s="10"/>
      <c r="AO13" s="18" t="e">
        <f t="shared" si="28"/>
        <v>#DIV/0!</v>
      </c>
      <c r="AP13" s="18" t="e">
        <f t="shared" si="29"/>
        <v>#DIV/0!</v>
      </c>
      <c r="AQ13" s="23" t="b">
        <f t="shared" si="30"/>
        <v>1</v>
      </c>
      <c r="AR13" s="18" t="b">
        <f t="shared" si="31"/>
        <v>0</v>
      </c>
      <c r="AS13" s="10" t="s">
        <v>42</v>
      </c>
      <c r="AT13" s="19" t="b">
        <f t="shared" si="32"/>
        <v>0</v>
      </c>
      <c r="AU13" s="18" t="b">
        <f t="shared" si="33"/>
        <v>1</v>
      </c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</row>
    <row r="14" spans="1:84" s="2" customFormat="1" x14ac:dyDescent="0.25">
      <c r="A14" s="10">
        <v>28</v>
      </c>
      <c r="B14" s="18" t="s">
        <v>129</v>
      </c>
      <c r="C14" s="19" t="s">
        <v>156</v>
      </c>
      <c r="D14" s="10">
        <v>2.78</v>
      </c>
      <c r="E14" s="10"/>
      <c r="F14" s="18" t="s">
        <v>127</v>
      </c>
      <c r="G14" s="10">
        <v>42544</v>
      </c>
      <c r="H14" s="18" t="s">
        <v>127</v>
      </c>
      <c r="I14" s="18" t="s">
        <v>127</v>
      </c>
      <c r="J14" s="10" t="s">
        <v>92</v>
      </c>
      <c r="K14" s="10"/>
      <c r="L14" s="10">
        <v>0</v>
      </c>
      <c r="M14" s="10">
        <v>10</v>
      </c>
      <c r="N14" s="10" t="s">
        <v>97</v>
      </c>
      <c r="O14" s="10" t="s">
        <v>94</v>
      </c>
      <c r="P14" s="10" t="s">
        <v>107</v>
      </c>
      <c r="Q14" s="10" t="s">
        <v>96</v>
      </c>
      <c r="R14" s="10">
        <v>24</v>
      </c>
      <c r="S14" s="10">
        <v>10</v>
      </c>
      <c r="T14" s="10">
        <v>4</v>
      </c>
      <c r="U14" s="10"/>
      <c r="V14" s="10" t="s">
        <v>97</v>
      </c>
      <c r="W14" s="10">
        <v>0.1</v>
      </c>
      <c r="X14" s="10">
        <v>17</v>
      </c>
      <c r="Y14" s="10" t="s">
        <v>105</v>
      </c>
      <c r="Z14" s="10" t="s">
        <v>93</v>
      </c>
      <c r="AA14" s="10" t="s">
        <v>93</v>
      </c>
      <c r="AB14" s="10" t="s">
        <v>97</v>
      </c>
      <c r="AC14" s="10" t="s">
        <v>93</v>
      </c>
      <c r="AD14" s="10" t="s">
        <v>93</v>
      </c>
      <c r="AE14" s="10" t="s">
        <v>103</v>
      </c>
      <c r="AF14" s="10" t="s">
        <v>97</v>
      </c>
      <c r="AG14" s="10" t="s">
        <v>98</v>
      </c>
      <c r="AH14" s="10"/>
      <c r="AI14" s="10"/>
      <c r="AJ14" s="10">
        <v>1564</v>
      </c>
      <c r="AK14" s="29">
        <f t="shared" ref="AK14:AK22" si="34">M14/X14</f>
        <v>0.58823529411764708</v>
      </c>
      <c r="AL14" s="18" t="b">
        <f t="shared" ref="AL14:AL22" si="35">OR(AK14&gt;1.5,AK14&lt;0.8)</f>
        <v>1</v>
      </c>
      <c r="AM14" s="10"/>
      <c r="AN14" s="10"/>
      <c r="AO14" s="18" t="e">
        <f t="shared" ref="AO14:AO22" si="36">M14/AN14</f>
        <v>#DIV/0!</v>
      </c>
      <c r="AP14" s="18" t="e">
        <f t="shared" ref="AP14:AP22" si="37">OR(AO14&gt;1.5,AO14&lt;0.8)</f>
        <v>#DIV/0!</v>
      </c>
      <c r="AQ14" s="23" t="b">
        <f t="shared" ref="AQ14:AQ22" si="38">OR(AK14&gt;1.5,AK14&lt;0.8,V14="N",L14&gt;0.01)</f>
        <v>1</v>
      </c>
      <c r="AR14" s="18" t="b">
        <f t="shared" ref="AR14:AR22" si="39">AND(J14="Span Bridge", AK14&gt;1)</f>
        <v>0</v>
      </c>
      <c r="AS14" s="10" t="s">
        <v>42</v>
      </c>
      <c r="AT14" s="19" t="b">
        <f t="shared" ref="AT14:AT22" si="40">AND(L14=0,AK14&gt;0.8,AK14&lt;1.5,V14="N",AD14="N")</f>
        <v>0</v>
      </c>
      <c r="AU14" s="18" t="b">
        <f t="shared" ref="AU14:AU22" si="41">AND(AQ14=TRUE,AR14=FALSE,AT14=FALSE)</f>
        <v>1</v>
      </c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</row>
    <row r="15" spans="1:84" s="2" customFormat="1" x14ac:dyDescent="0.25">
      <c r="A15" s="10">
        <v>29</v>
      </c>
      <c r="B15" s="18" t="s">
        <v>129</v>
      </c>
      <c r="C15" s="19" t="s">
        <v>157</v>
      </c>
      <c r="D15" s="10">
        <v>2.8299999999999996</v>
      </c>
      <c r="E15" s="10"/>
      <c r="F15" s="18" t="s">
        <v>127</v>
      </c>
      <c r="G15" s="10">
        <v>42544</v>
      </c>
      <c r="H15" s="18" t="s">
        <v>127</v>
      </c>
      <c r="I15" s="18" t="s">
        <v>127</v>
      </c>
      <c r="J15" s="10" t="s">
        <v>101</v>
      </c>
      <c r="K15" s="10"/>
      <c r="L15" s="10">
        <v>0</v>
      </c>
      <c r="M15" s="10">
        <v>12</v>
      </c>
      <c r="N15" s="10" t="s">
        <v>93</v>
      </c>
      <c r="O15" s="10" t="s">
        <v>94</v>
      </c>
      <c r="P15" s="10" t="s">
        <v>102</v>
      </c>
      <c r="Q15" s="10" t="s">
        <v>106</v>
      </c>
      <c r="R15" s="10">
        <v>12</v>
      </c>
      <c r="S15" s="10">
        <v>12</v>
      </c>
      <c r="T15" s="10">
        <v>4.5</v>
      </c>
      <c r="U15" s="10"/>
      <c r="V15" s="10" t="s">
        <v>97</v>
      </c>
      <c r="W15" s="10">
        <v>0</v>
      </c>
      <c r="X15" s="10">
        <v>17</v>
      </c>
      <c r="Y15" s="10" t="s">
        <v>105</v>
      </c>
      <c r="Z15" s="10" t="s">
        <v>93</v>
      </c>
      <c r="AA15" s="10" t="s">
        <v>93</v>
      </c>
      <c r="AB15" s="10" t="s">
        <v>93</v>
      </c>
      <c r="AC15" s="10" t="s">
        <v>93</v>
      </c>
      <c r="AD15" s="10" t="s">
        <v>93</v>
      </c>
      <c r="AE15" s="10" t="s">
        <v>103</v>
      </c>
      <c r="AF15" s="10" t="s">
        <v>97</v>
      </c>
      <c r="AG15" s="10" t="s">
        <v>105</v>
      </c>
      <c r="AH15" s="10"/>
      <c r="AI15" s="10"/>
      <c r="AJ15" s="10">
        <v>1354</v>
      </c>
      <c r="AK15" s="29">
        <f t="shared" si="34"/>
        <v>0.70588235294117652</v>
      </c>
      <c r="AL15" s="18" t="b">
        <f t="shared" si="35"/>
        <v>1</v>
      </c>
      <c r="AM15" s="10"/>
      <c r="AN15" s="10"/>
      <c r="AO15" s="18" t="e">
        <f t="shared" si="36"/>
        <v>#DIV/0!</v>
      </c>
      <c r="AP15" s="18" t="e">
        <f t="shared" si="37"/>
        <v>#DIV/0!</v>
      </c>
      <c r="AQ15" s="23" t="b">
        <f t="shared" si="38"/>
        <v>1</v>
      </c>
      <c r="AR15" s="18" t="b">
        <f t="shared" si="39"/>
        <v>0</v>
      </c>
      <c r="AS15" s="10" t="s">
        <v>42</v>
      </c>
      <c r="AT15" s="19" t="b">
        <f t="shared" si="40"/>
        <v>0</v>
      </c>
      <c r="AU15" s="18" t="b">
        <f t="shared" si="41"/>
        <v>1</v>
      </c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</row>
    <row r="16" spans="1:84" s="2" customFormat="1" x14ac:dyDescent="0.25">
      <c r="A16" s="10">
        <v>10</v>
      </c>
      <c r="B16" s="18" t="s">
        <v>129</v>
      </c>
      <c r="C16" s="19" t="s">
        <v>138</v>
      </c>
      <c r="D16" s="10">
        <v>1.53</v>
      </c>
      <c r="E16" s="10"/>
      <c r="F16" s="18" t="s">
        <v>127</v>
      </c>
      <c r="G16" s="10">
        <v>42542</v>
      </c>
      <c r="H16" s="18" t="s">
        <v>127</v>
      </c>
      <c r="I16" s="18" t="s">
        <v>127</v>
      </c>
      <c r="J16" s="10" t="s">
        <v>92</v>
      </c>
      <c r="K16" s="10"/>
      <c r="L16" s="10">
        <v>0</v>
      </c>
      <c r="M16" s="10">
        <v>10</v>
      </c>
      <c r="N16" s="10" t="s">
        <v>93</v>
      </c>
      <c r="O16" s="10" t="s">
        <v>94</v>
      </c>
      <c r="P16" s="10" t="s">
        <v>107</v>
      </c>
      <c r="Q16" s="10" t="s">
        <v>96</v>
      </c>
      <c r="R16" s="10">
        <v>176</v>
      </c>
      <c r="S16" s="10">
        <v>10</v>
      </c>
      <c r="T16" s="10">
        <v>6</v>
      </c>
      <c r="U16" s="10"/>
      <c r="V16" s="10" t="s">
        <v>97</v>
      </c>
      <c r="W16" s="10">
        <v>0</v>
      </c>
      <c r="X16" s="10">
        <v>19</v>
      </c>
      <c r="Y16" s="10" t="s">
        <v>98</v>
      </c>
      <c r="Z16" s="10" t="s">
        <v>97</v>
      </c>
      <c r="AA16" s="10" t="s">
        <v>97</v>
      </c>
      <c r="AB16" s="10" t="s">
        <v>93</v>
      </c>
      <c r="AC16" s="10" t="s">
        <v>97</v>
      </c>
      <c r="AD16" s="10" t="s">
        <v>97</v>
      </c>
      <c r="AE16" s="10" t="s">
        <v>108</v>
      </c>
      <c r="AF16" s="10" t="s">
        <v>97</v>
      </c>
      <c r="AG16" s="10" t="s">
        <v>105</v>
      </c>
      <c r="AH16" s="10"/>
      <c r="AI16" s="10"/>
      <c r="AJ16" s="10">
        <v>2425</v>
      </c>
      <c r="AK16" s="29">
        <f t="shared" si="34"/>
        <v>0.52631578947368418</v>
      </c>
      <c r="AL16" s="18" t="b">
        <f t="shared" si="35"/>
        <v>1</v>
      </c>
      <c r="AM16" s="10"/>
      <c r="AN16" s="10"/>
      <c r="AO16" s="18" t="e">
        <f t="shared" si="36"/>
        <v>#DIV/0!</v>
      </c>
      <c r="AP16" s="18" t="e">
        <f t="shared" si="37"/>
        <v>#DIV/0!</v>
      </c>
      <c r="AQ16" s="23" t="b">
        <f t="shared" si="38"/>
        <v>1</v>
      </c>
      <c r="AR16" s="18" t="b">
        <f t="shared" si="39"/>
        <v>0</v>
      </c>
      <c r="AS16" s="10" t="s">
        <v>40</v>
      </c>
      <c r="AT16" s="19" t="b">
        <f t="shared" si="40"/>
        <v>0</v>
      </c>
      <c r="AU16" s="18" t="b">
        <f t="shared" si="41"/>
        <v>1</v>
      </c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</row>
    <row r="17" spans="1:84" s="2" customFormat="1" x14ac:dyDescent="0.25">
      <c r="A17" s="10">
        <v>31</v>
      </c>
      <c r="B17" s="18" t="s">
        <v>129</v>
      </c>
      <c r="C17" s="19" t="s">
        <v>159</v>
      </c>
      <c r="D17" s="10">
        <v>3.13</v>
      </c>
      <c r="E17" s="10">
        <v>2</v>
      </c>
      <c r="F17" s="18" t="s">
        <v>127</v>
      </c>
      <c r="G17" s="10">
        <v>42544</v>
      </c>
      <c r="H17" s="18" t="s">
        <v>127</v>
      </c>
      <c r="I17" s="18" t="s">
        <v>127</v>
      </c>
      <c r="J17" s="10" t="s">
        <v>92</v>
      </c>
      <c r="K17" s="10">
        <v>2</v>
      </c>
      <c r="L17" s="10">
        <v>1</v>
      </c>
      <c r="M17" s="10">
        <v>20</v>
      </c>
      <c r="N17" s="10" t="s">
        <v>93</v>
      </c>
      <c r="O17" s="10" t="s">
        <v>104</v>
      </c>
      <c r="P17" s="10" t="s">
        <v>113</v>
      </c>
      <c r="Q17" s="10" t="s">
        <v>111</v>
      </c>
      <c r="R17" s="10">
        <v>37</v>
      </c>
      <c r="S17" s="10">
        <v>10</v>
      </c>
      <c r="T17" s="10">
        <v>6</v>
      </c>
      <c r="U17" s="10"/>
      <c r="V17" s="10" t="s">
        <v>93</v>
      </c>
      <c r="W17" s="10">
        <v>0.75</v>
      </c>
      <c r="X17" s="10">
        <v>20</v>
      </c>
      <c r="Y17" s="10" t="s">
        <v>98</v>
      </c>
      <c r="Z17" s="10" t="s">
        <v>97</v>
      </c>
      <c r="AA17" s="10" t="s">
        <v>93</v>
      </c>
      <c r="AB17" s="10" t="s">
        <v>93</v>
      </c>
      <c r="AC17" s="10" t="s">
        <v>97</v>
      </c>
      <c r="AD17" s="10" t="s">
        <v>97</v>
      </c>
      <c r="AE17" s="10" t="s">
        <v>114</v>
      </c>
      <c r="AF17" s="10" t="s">
        <v>97</v>
      </c>
      <c r="AG17" s="10" t="s">
        <v>98</v>
      </c>
      <c r="AH17" s="10"/>
      <c r="AI17" s="10"/>
      <c r="AJ17" s="10">
        <v>3176</v>
      </c>
      <c r="AK17" s="29">
        <f t="shared" si="34"/>
        <v>1</v>
      </c>
      <c r="AL17" s="18" t="b">
        <f t="shared" si="35"/>
        <v>0</v>
      </c>
      <c r="AM17" s="10"/>
      <c r="AN17" s="10"/>
      <c r="AO17" s="18" t="e">
        <f t="shared" si="36"/>
        <v>#DIV/0!</v>
      </c>
      <c r="AP17" s="18" t="e">
        <f t="shared" si="37"/>
        <v>#DIV/0!</v>
      </c>
      <c r="AQ17" s="23" t="b">
        <f t="shared" si="38"/>
        <v>1</v>
      </c>
      <c r="AR17" s="18" t="b">
        <f t="shared" si="39"/>
        <v>0</v>
      </c>
      <c r="AS17" s="10" t="s">
        <v>42</v>
      </c>
      <c r="AT17" s="19" t="b">
        <f t="shared" si="40"/>
        <v>0</v>
      </c>
      <c r="AU17" s="18" t="b">
        <f t="shared" si="41"/>
        <v>1</v>
      </c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</row>
    <row r="18" spans="1:84" s="2" customFormat="1" x14ac:dyDescent="0.25">
      <c r="A18" s="10">
        <v>32</v>
      </c>
      <c r="B18" s="18" t="s">
        <v>129</v>
      </c>
      <c r="C18" s="19" t="s">
        <v>160</v>
      </c>
      <c r="D18" s="10">
        <v>3.57</v>
      </c>
      <c r="E18" s="10">
        <v>1</v>
      </c>
      <c r="F18" s="18" t="s">
        <v>127</v>
      </c>
      <c r="G18" s="10">
        <v>42544</v>
      </c>
      <c r="H18" s="18" t="s">
        <v>127</v>
      </c>
      <c r="I18" s="18" t="s">
        <v>127</v>
      </c>
      <c r="J18" s="10" t="s">
        <v>92</v>
      </c>
      <c r="K18" s="10">
        <v>2</v>
      </c>
      <c r="L18" s="10">
        <v>0.7</v>
      </c>
      <c r="M18" s="10">
        <v>9</v>
      </c>
      <c r="N18" s="10" t="s">
        <v>97</v>
      </c>
      <c r="O18" s="10" t="s">
        <v>94</v>
      </c>
      <c r="P18" s="10" t="s">
        <v>110</v>
      </c>
      <c r="Q18" s="10" t="s">
        <v>96</v>
      </c>
      <c r="R18" s="10">
        <v>48</v>
      </c>
      <c r="S18" s="10">
        <v>4.5</v>
      </c>
      <c r="T18" s="10">
        <v>4.5</v>
      </c>
      <c r="U18" s="10"/>
      <c r="V18" s="10" t="s">
        <v>93</v>
      </c>
      <c r="W18" s="10">
        <v>0</v>
      </c>
      <c r="X18" s="10">
        <v>20</v>
      </c>
      <c r="Y18" s="10" t="s">
        <v>105</v>
      </c>
      <c r="Z18" s="10" t="s">
        <v>93</v>
      </c>
      <c r="AA18" s="10" t="s">
        <v>93</v>
      </c>
      <c r="AB18" s="10" t="s">
        <v>93</v>
      </c>
      <c r="AC18" s="10" t="s">
        <v>93</v>
      </c>
      <c r="AD18" s="10" t="s">
        <v>97</v>
      </c>
      <c r="AE18" s="10" t="s">
        <v>115</v>
      </c>
      <c r="AF18" s="10" t="s">
        <v>93</v>
      </c>
      <c r="AG18" s="10" t="s">
        <v>98</v>
      </c>
      <c r="AH18" s="10"/>
      <c r="AI18" s="10"/>
      <c r="AJ18" s="10">
        <v>4339</v>
      </c>
      <c r="AK18" s="29">
        <f t="shared" si="34"/>
        <v>0.45</v>
      </c>
      <c r="AL18" s="18" t="b">
        <f t="shared" si="35"/>
        <v>1</v>
      </c>
      <c r="AM18" s="10"/>
      <c r="AN18" s="10"/>
      <c r="AO18" s="18" t="e">
        <f t="shared" si="36"/>
        <v>#DIV/0!</v>
      </c>
      <c r="AP18" s="18" t="e">
        <f t="shared" si="37"/>
        <v>#DIV/0!</v>
      </c>
      <c r="AQ18" s="23" t="b">
        <f t="shared" si="38"/>
        <v>1</v>
      </c>
      <c r="AR18" s="18" t="b">
        <f t="shared" si="39"/>
        <v>0</v>
      </c>
      <c r="AS18" s="10" t="s">
        <v>41</v>
      </c>
      <c r="AT18" s="19" t="b">
        <f t="shared" si="40"/>
        <v>0</v>
      </c>
      <c r="AU18" s="18" t="b">
        <f t="shared" si="41"/>
        <v>1</v>
      </c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</row>
    <row r="19" spans="1:84" s="2" customFormat="1" x14ac:dyDescent="0.25">
      <c r="A19" s="10">
        <v>13</v>
      </c>
      <c r="B19" s="18" t="s">
        <v>129</v>
      </c>
      <c r="C19" s="19" t="s">
        <v>141</v>
      </c>
      <c r="D19" s="10">
        <v>1.99</v>
      </c>
      <c r="E19" s="10"/>
      <c r="F19" s="18" t="s">
        <v>127</v>
      </c>
      <c r="G19" s="10">
        <v>42542</v>
      </c>
      <c r="H19" s="18" t="s">
        <v>127</v>
      </c>
      <c r="I19" s="18" t="s">
        <v>127</v>
      </c>
      <c r="J19" s="10" t="s">
        <v>92</v>
      </c>
      <c r="K19" s="10"/>
      <c r="L19" s="10">
        <v>0</v>
      </c>
      <c r="M19" s="10">
        <v>8</v>
      </c>
      <c r="N19" s="10" t="s">
        <v>93</v>
      </c>
      <c r="O19" s="10" t="s">
        <v>94</v>
      </c>
      <c r="P19" s="10" t="s">
        <v>107</v>
      </c>
      <c r="Q19" s="10" t="s">
        <v>96</v>
      </c>
      <c r="R19" s="10">
        <v>49</v>
      </c>
      <c r="S19" s="10">
        <v>8</v>
      </c>
      <c r="T19" s="10">
        <v>5</v>
      </c>
      <c r="U19" s="10"/>
      <c r="V19" s="10" t="s">
        <v>97</v>
      </c>
      <c r="W19" s="10">
        <v>0</v>
      </c>
      <c r="X19" s="10">
        <v>21</v>
      </c>
      <c r="Y19" s="10" t="s">
        <v>98</v>
      </c>
      <c r="Z19" s="10" t="s">
        <v>97</v>
      </c>
      <c r="AA19" s="10" t="s">
        <v>93</v>
      </c>
      <c r="AB19" s="10" t="s">
        <v>93</v>
      </c>
      <c r="AC19" s="10" t="s">
        <v>93</v>
      </c>
      <c r="AD19" s="10" t="s">
        <v>93</v>
      </c>
      <c r="AE19" s="10" t="s">
        <v>103</v>
      </c>
      <c r="AF19" s="10" t="s">
        <v>97</v>
      </c>
      <c r="AG19" s="10" t="s">
        <v>98</v>
      </c>
      <c r="AH19" s="10"/>
      <c r="AI19" s="10"/>
      <c r="AJ19" s="10">
        <v>204</v>
      </c>
      <c r="AK19" s="29">
        <f t="shared" si="34"/>
        <v>0.38095238095238093</v>
      </c>
      <c r="AL19" s="18" t="b">
        <f t="shared" si="35"/>
        <v>1</v>
      </c>
      <c r="AM19" s="10"/>
      <c r="AN19" s="10"/>
      <c r="AO19" s="18" t="e">
        <f t="shared" si="36"/>
        <v>#DIV/0!</v>
      </c>
      <c r="AP19" s="18" t="e">
        <f t="shared" si="37"/>
        <v>#DIV/0!</v>
      </c>
      <c r="AQ19" s="23" t="b">
        <f t="shared" si="38"/>
        <v>1</v>
      </c>
      <c r="AR19" s="18" t="b">
        <f t="shared" si="39"/>
        <v>0</v>
      </c>
      <c r="AS19" s="10" t="s">
        <v>41</v>
      </c>
      <c r="AT19" s="19" t="b">
        <f t="shared" si="40"/>
        <v>0</v>
      </c>
      <c r="AU19" s="18" t="b">
        <f t="shared" si="41"/>
        <v>1</v>
      </c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</row>
    <row r="20" spans="1:84" s="2" customFormat="1" x14ac:dyDescent="0.25">
      <c r="A20" s="10">
        <v>14</v>
      </c>
      <c r="B20" s="18" t="s">
        <v>129</v>
      </c>
      <c r="C20" s="19" t="s">
        <v>142</v>
      </c>
      <c r="D20" s="10">
        <v>2.04</v>
      </c>
      <c r="E20" s="10"/>
      <c r="F20" s="18" t="s">
        <v>127</v>
      </c>
      <c r="G20" s="10">
        <v>42542</v>
      </c>
      <c r="H20" s="18" t="s">
        <v>127</v>
      </c>
      <c r="I20" s="18" t="s">
        <v>127</v>
      </c>
      <c r="J20" s="10" t="s">
        <v>92</v>
      </c>
      <c r="K20" s="10"/>
      <c r="L20" s="10">
        <v>0</v>
      </c>
      <c r="M20" s="10">
        <v>12</v>
      </c>
      <c r="N20" s="10" t="s">
        <v>93</v>
      </c>
      <c r="O20" s="10" t="s">
        <v>94</v>
      </c>
      <c r="P20" s="10" t="s">
        <v>107</v>
      </c>
      <c r="Q20" s="10" t="s">
        <v>96</v>
      </c>
      <c r="R20" s="10">
        <v>40</v>
      </c>
      <c r="S20" s="10">
        <v>12</v>
      </c>
      <c r="T20" s="10">
        <v>3</v>
      </c>
      <c r="U20" s="10"/>
      <c r="V20" s="10" t="s">
        <v>97</v>
      </c>
      <c r="W20" s="10">
        <v>0</v>
      </c>
      <c r="X20" s="10">
        <v>21</v>
      </c>
      <c r="Y20" s="10" t="s">
        <v>98</v>
      </c>
      <c r="Z20" s="10" t="s">
        <v>93</v>
      </c>
      <c r="AA20" s="10" t="s">
        <v>97</v>
      </c>
      <c r="AB20" s="10" t="s">
        <v>93</v>
      </c>
      <c r="AC20" s="10" t="s">
        <v>97</v>
      </c>
      <c r="AD20" s="10" t="s">
        <v>97</v>
      </c>
      <c r="AE20" s="10" t="s">
        <v>109</v>
      </c>
      <c r="AF20" s="10" t="s">
        <v>97</v>
      </c>
      <c r="AG20" s="10" t="s">
        <v>100</v>
      </c>
      <c r="AH20" s="10"/>
      <c r="AI20" s="10"/>
      <c r="AJ20" s="10">
        <v>55</v>
      </c>
      <c r="AK20" s="29">
        <f t="shared" si="34"/>
        <v>0.5714285714285714</v>
      </c>
      <c r="AL20" s="18" t="b">
        <f t="shared" si="35"/>
        <v>1</v>
      </c>
      <c r="AM20" s="10"/>
      <c r="AN20" s="10"/>
      <c r="AO20" s="18" t="e">
        <f t="shared" si="36"/>
        <v>#DIV/0!</v>
      </c>
      <c r="AP20" s="18" t="e">
        <f t="shared" si="37"/>
        <v>#DIV/0!</v>
      </c>
      <c r="AQ20" s="23" t="b">
        <f t="shared" si="38"/>
        <v>1</v>
      </c>
      <c r="AR20" s="18" t="b">
        <f t="shared" si="39"/>
        <v>0</v>
      </c>
      <c r="AS20" s="10" t="s">
        <v>41</v>
      </c>
      <c r="AT20" s="19" t="b">
        <f t="shared" si="40"/>
        <v>0</v>
      </c>
      <c r="AU20" s="18" t="b">
        <f t="shared" si="41"/>
        <v>1</v>
      </c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</row>
    <row r="21" spans="1:84" s="2" customFormat="1" x14ac:dyDescent="0.25">
      <c r="A21" s="10">
        <v>15</v>
      </c>
      <c r="B21" s="18" t="s">
        <v>129</v>
      </c>
      <c r="C21" s="19" t="s">
        <v>143</v>
      </c>
      <c r="D21" s="10">
        <v>2.0499999999999998</v>
      </c>
      <c r="E21" s="10">
        <v>1</v>
      </c>
      <c r="F21" s="18" t="s">
        <v>127</v>
      </c>
      <c r="G21" s="10">
        <v>42542</v>
      </c>
      <c r="H21" s="18" t="s">
        <v>127</v>
      </c>
      <c r="I21" s="18" t="s">
        <v>127</v>
      </c>
      <c r="J21" s="10" t="s">
        <v>92</v>
      </c>
      <c r="K21" s="10">
        <v>2</v>
      </c>
      <c r="L21" s="10">
        <v>0</v>
      </c>
      <c r="M21" s="10">
        <v>12</v>
      </c>
      <c r="N21" s="10" t="s">
        <v>93</v>
      </c>
      <c r="O21" s="10" t="s">
        <v>94</v>
      </c>
      <c r="P21" s="10" t="s">
        <v>110</v>
      </c>
      <c r="Q21" s="10" t="s">
        <v>111</v>
      </c>
      <c r="R21" s="10">
        <v>30</v>
      </c>
      <c r="S21" s="10">
        <v>6</v>
      </c>
      <c r="T21" s="10">
        <v>6</v>
      </c>
      <c r="U21" s="10"/>
      <c r="V21" s="10" t="s">
        <v>97</v>
      </c>
      <c r="W21" s="10">
        <v>0</v>
      </c>
      <c r="X21" s="10">
        <v>21</v>
      </c>
      <c r="Y21" s="10" t="s">
        <v>98</v>
      </c>
      <c r="Z21" s="10" t="s">
        <v>97</v>
      </c>
      <c r="AA21" s="10" t="s">
        <v>97</v>
      </c>
      <c r="AB21" s="10" t="s">
        <v>93</v>
      </c>
      <c r="AC21" s="10" t="s">
        <v>93</v>
      </c>
      <c r="AD21" s="10" t="s">
        <v>97</v>
      </c>
      <c r="AE21" s="10" t="s">
        <v>108</v>
      </c>
      <c r="AF21" s="10" t="s">
        <v>97</v>
      </c>
      <c r="AG21" s="10" t="s">
        <v>105</v>
      </c>
      <c r="AH21" s="10"/>
      <c r="AI21" s="10"/>
      <c r="AJ21" s="10">
        <v>855</v>
      </c>
      <c r="AK21" s="29">
        <f t="shared" si="34"/>
        <v>0.5714285714285714</v>
      </c>
      <c r="AL21" s="18" t="b">
        <f t="shared" si="35"/>
        <v>1</v>
      </c>
      <c r="AM21" s="10"/>
      <c r="AN21" s="10"/>
      <c r="AO21" s="18" t="e">
        <f t="shared" si="36"/>
        <v>#DIV/0!</v>
      </c>
      <c r="AP21" s="18" t="e">
        <f t="shared" si="37"/>
        <v>#DIV/0!</v>
      </c>
      <c r="AQ21" s="23" t="b">
        <f t="shared" si="38"/>
        <v>1</v>
      </c>
      <c r="AR21" s="18" t="b">
        <f t="shared" si="39"/>
        <v>0</v>
      </c>
      <c r="AS21" s="10" t="s">
        <v>41</v>
      </c>
      <c r="AT21" s="19" t="b">
        <f t="shared" si="40"/>
        <v>0</v>
      </c>
      <c r="AU21" s="18" t="b">
        <f t="shared" si="41"/>
        <v>1</v>
      </c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</row>
    <row r="22" spans="1:84" s="2" customFormat="1" x14ac:dyDescent="0.25">
      <c r="A22" s="10">
        <v>16</v>
      </c>
      <c r="B22" s="18" t="s">
        <v>129</v>
      </c>
      <c r="C22" s="19" t="s">
        <v>144</v>
      </c>
      <c r="D22" s="10">
        <v>2.0499999999999998</v>
      </c>
      <c r="E22" s="10">
        <v>2</v>
      </c>
      <c r="F22" s="18" t="s">
        <v>127</v>
      </c>
      <c r="G22" s="10">
        <v>42542</v>
      </c>
      <c r="H22" s="18" t="s">
        <v>127</v>
      </c>
      <c r="I22" s="18" t="s">
        <v>127</v>
      </c>
      <c r="J22" s="10" t="s">
        <v>92</v>
      </c>
      <c r="K22" s="10">
        <v>2</v>
      </c>
      <c r="L22" s="10">
        <v>0</v>
      </c>
      <c r="M22" s="10">
        <v>12</v>
      </c>
      <c r="N22" s="10" t="s">
        <v>93</v>
      </c>
      <c r="O22" s="10" t="s">
        <v>104</v>
      </c>
      <c r="P22" s="10" t="s">
        <v>110</v>
      </c>
      <c r="Q22" s="10" t="s">
        <v>111</v>
      </c>
      <c r="R22" s="10">
        <v>30</v>
      </c>
      <c r="S22" s="10">
        <v>6</v>
      </c>
      <c r="T22" s="10">
        <v>6</v>
      </c>
      <c r="U22" s="10"/>
      <c r="V22" s="10" t="s">
        <v>97</v>
      </c>
      <c r="W22" s="10">
        <v>0.3</v>
      </c>
      <c r="X22" s="10">
        <v>21</v>
      </c>
      <c r="Y22" s="10" t="s">
        <v>98</v>
      </c>
      <c r="Z22" s="10" t="s">
        <v>97</v>
      </c>
      <c r="AA22" s="10" t="s">
        <v>97</v>
      </c>
      <c r="AB22" s="10" t="s">
        <v>93</v>
      </c>
      <c r="AC22" s="10" t="s">
        <v>93</v>
      </c>
      <c r="AD22" s="10" t="s">
        <v>97</v>
      </c>
      <c r="AE22" s="10" t="s">
        <v>108</v>
      </c>
      <c r="AF22" s="10" t="s">
        <v>97</v>
      </c>
      <c r="AG22" s="10" t="s">
        <v>105</v>
      </c>
      <c r="AH22" s="10"/>
      <c r="AI22" s="10"/>
      <c r="AJ22" s="10">
        <v>855</v>
      </c>
      <c r="AK22" s="29">
        <f t="shared" si="34"/>
        <v>0.5714285714285714</v>
      </c>
      <c r="AL22" s="18" t="b">
        <f t="shared" si="35"/>
        <v>1</v>
      </c>
      <c r="AM22" s="10"/>
      <c r="AN22" s="10"/>
      <c r="AO22" s="18" t="e">
        <f t="shared" si="36"/>
        <v>#DIV/0!</v>
      </c>
      <c r="AP22" s="18" t="e">
        <f t="shared" si="37"/>
        <v>#DIV/0!</v>
      </c>
      <c r="AQ22" s="23" t="b">
        <f t="shared" si="38"/>
        <v>1</v>
      </c>
      <c r="AR22" s="18" t="b">
        <f t="shared" si="39"/>
        <v>0</v>
      </c>
      <c r="AS22" s="10" t="s">
        <v>41</v>
      </c>
      <c r="AT22" s="19" t="b">
        <f t="shared" si="40"/>
        <v>0</v>
      </c>
      <c r="AU22" s="18" t="b">
        <f t="shared" si="41"/>
        <v>1</v>
      </c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</row>
    <row r="23" spans="1:84" s="2" customFormat="1" x14ac:dyDescent="0.25">
      <c r="A23" s="10">
        <v>38</v>
      </c>
      <c r="B23" s="18" t="s">
        <v>129</v>
      </c>
      <c r="C23" s="19" t="s">
        <v>166</v>
      </c>
      <c r="D23" s="10">
        <v>6.04</v>
      </c>
      <c r="E23" s="10"/>
      <c r="F23" s="18" t="s">
        <v>127</v>
      </c>
      <c r="G23" s="10"/>
      <c r="H23" s="18" t="s">
        <v>127</v>
      </c>
      <c r="I23" s="18" t="s">
        <v>127</v>
      </c>
      <c r="J23" s="10" t="s">
        <v>92</v>
      </c>
      <c r="K23" s="10">
        <v>1</v>
      </c>
      <c r="L23" s="10">
        <v>0</v>
      </c>
      <c r="M23" s="10">
        <v>6</v>
      </c>
      <c r="N23" s="10" t="s">
        <v>97</v>
      </c>
      <c r="O23" s="10" t="s">
        <v>94</v>
      </c>
      <c r="P23" s="10" t="s">
        <v>113</v>
      </c>
      <c r="Q23" s="10" t="s">
        <v>111</v>
      </c>
      <c r="R23" s="10">
        <v>30</v>
      </c>
      <c r="S23" s="10">
        <v>6</v>
      </c>
      <c r="T23" s="10">
        <v>4</v>
      </c>
      <c r="U23" s="10"/>
      <c r="V23" s="10" t="s">
        <v>93</v>
      </c>
      <c r="W23" s="14">
        <v>0</v>
      </c>
      <c r="X23" s="10">
        <v>8</v>
      </c>
      <c r="Y23" s="10" t="s">
        <v>105</v>
      </c>
      <c r="Z23" s="10" t="s">
        <v>93</v>
      </c>
      <c r="AA23" s="10" t="s">
        <v>93</v>
      </c>
      <c r="AB23" s="10" t="s">
        <v>93</v>
      </c>
      <c r="AC23" s="10" t="s">
        <v>93</v>
      </c>
      <c r="AD23" s="15" t="s">
        <v>97</v>
      </c>
      <c r="AE23" s="8" t="s">
        <v>109</v>
      </c>
      <c r="AF23" s="10" t="s">
        <v>93</v>
      </c>
      <c r="AG23" s="10" t="s">
        <v>105</v>
      </c>
      <c r="AH23" s="9"/>
      <c r="AI23" s="9"/>
      <c r="AJ23" s="10">
        <v>5144</v>
      </c>
      <c r="AK23" s="29">
        <f t="shared" ref="AK23:AK25" si="42">M23/X23</f>
        <v>0.75</v>
      </c>
      <c r="AL23" s="18" t="b">
        <f t="shared" ref="AL23:AL25" si="43">OR(AK23&gt;1.5,AK23&lt;0.8)</f>
        <v>1</v>
      </c>
      <c r="AM23" s="10"/>
      <c r="AN23" s="10"/>
      <c r="AO23" s="18" t="e">
        <f t="shared" ref="AO23:AO25" si="44">M23/AN23</f>
        <v>#DIV/0!</v>
      </c>
      <c r="AP23" s="18" t="e">
        <f t="shared" ref="AP23:AP25" si="45">OR(AO23&gt;1.5,AO23&lt;0.8)</f>
        <v>#DIV/0!</v>
      </c>
      <c r="AQ23" s="23" t="b">
        <f t="shared" ref="AQ23:AQ25" si="46">OR(AK23&gt;1.5,AK23&lt;0.8,V23="N",L23&gt;0.01)</f>
        <v>1</v>
      </c>
      <c r="AR23" s="18" t="b">
        <f t="shared" ref="AR23:AR25" si="47">AND(J23="Span Bridge", AK23&gt;1)</f>
        <v>0</v>
      </c>
      <c r="AS23" s="17" t="s">
        <v>41</v>
      </c>
      <c r="AT23" s="19" t="b">
        <f t="shared" ref="AT23:AT25" si="48">AND(L23=0,AK23&gt;0.8,AK23&lt;1.5,V23="N",AD23="N")</f>
        <v>0</v>
      </c>
      <c r="AU23" s="18" t="b">
        <f t="shared" ref="AU23:AU25" si="49">AND(AQ23=TRUE,AR23=FALSE,AT23=FALSE)</f>
        <v>1</v>
      </c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</row>
    <row r="24" spans="1:84" s="2" customFormat="1" x14ac:dyDescent="0.25">
      <c r="A24" s="10">
        <v>18</v>
      </c>
      <c r="B24" s="18" t="s">
        <v>129</v>
      </c>
      <c r="C24" s="19" t="s">
        <v>146</v>
      </c>
      <c r="D24" s="10">
        <v>2.23</v>
      </c>
      <c r="E24" s="10">
        <v>1</v>
      </c>
      <c r="F24" s="18" t="s">
        <v>127</v>
      </c>
      <c r="G24" s="10">
        <v>42542</v>
      </c>
      <c r="H24" s="18" t="s">
        <v>127</v>
      </c>
      <c r="I24" s="18" t="s">
        <v>127</v>
      </c>
      <c r="J24" s="10" t="s">
        <v>92</v>
      </c>
      <c r="K24" s="10">
        <v>2</v>
      </c>
      <c r="L24" s="10">
        <v>0</v>
      </c>
      <c r="M24" s="10">
        <v>12</v>
      </c>
      <c r="N24" s="10" t="s">
        <v>97</v>
      </c>
      <c r="O24" s="10" t="s">
        <v>94</v>
      </c>
      <c r="P24" s="10" t="s">
        <v>110</v>
      </c>
      <c r="Q24" s="10" t="s">
        <v>111</v>
      </c>
      <c r="R24" s="10">
        <v>61</v>
      </c>
      <c r="S24" s="10">
        <v>6</v>
      </c>
      <c r="T24" s="10">
        <v>6</v>
      </c>
      <c r="U24" s="10"/>
      <c r="V24" s="10" t="s">
        <v>93</v>
      </c>
      <c r="W24" s="10">
        <v>0</v>
      </c>
      <c r="X24" s="10">
        <v>19</v>
      </c>
      <c r="Y24" s="10" t="s">
        <v>98</v>
      </c>
      <c r="Z24" s="10" t="s">
        <v>97</v>
      </c>
      <c r="AA24" s="10" t="s">
        <v>93</v>
      </c>
      <c r="AB24" s="10" t="s">
        <v>93</v>
      </c>
      <c r="AC24" s="10" t="s">
        <v>93</v>
      </c>
      <c r="AD24" s="10" t="s">
        <v>97</v>
      </c>
      <c r="AE24" s="10" t="s">
        <v>112</v>
      </c>
      <c r="AF24" s="10" t="s">
        <v>97</v>
      </c>
      <c r="AG24" s="10" t="s">
        <v>105</v>
      </c>
      <c r="AH24" s="10"/>
      <c r="AI24" s="10"/>
      <c r="AJ24" s="10">
        <v>1130</v>
      </c>
      <c r="AK24" s="29">
        <f t="shared" si="42"/>
        <v>0.63157894736842102</v>
      </c>
      <c r="AL24" s="18" t="b">
        <f t="shared" si="43"/>
        <v>1</v>
      </c>
      <c r="AM24" s="10"/>
      <c r="AN24" s="10"/>
      <c r="AO24" s="18" t="e">
        <f t="shared" si="44"/>
        <v>#DIV/0!</v>
      </c>
      <c r="AP24" s="18" t="e">
        <f t="shared" si="45"/>
        <v>#DIV/0!</v>
      </c>
      <c r="AQ24" s="23" t="b">
        <f t="shared" si="46"/>
        <v>1</v>
      </c>
      <c r="AR24" s="18" t="b">
        <f t="shared" si="47"/>
        <v>0</v>
      </c>
      <c r="AS24" s="10" t="s">
        <v>41</v>
      </c>
      <c r="AT24" s="19" t="b">
        <f t="shared" si="48"/>
        <v>0</v>
      </c>
      <c r="AU24" s="18" t="b">
        <f t="shared" si="49"/>
        <v>1</v>
      </c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</row>
    <row r="25" spans="1:84" s="2" customFormat="1" x14ac:dyDescent="0.25">
      <c r="A25" s="10">
        <v>19</v>
      </c>
      <c r="B25" s="18" t="s">
        <v>129</v>
      </c>
      <c r="C25" s="19" t="s">
        <v>147</v>
      </c>
      <c r="D25" s="10">
        <v>2.23</v>
      </c>
      <c r="E25" s="10">
        <v>2</v>
      </c>
      <c r="F25" s="18" t="s">
        <v>127</v>
      </c>
      <c r="G25" s="10">
        <v>42542</v>
      </c>
      <c r="H25" s="18" t="s">
        <v>127</v>
      </c>
      <c r="I25" s="18" t="s">
        <v>127</v>
      </c>
      <c r="J25" s="10" t="s">
        <v>92</v>
      </c>
      <c r="K25" s="10">
        <v>2</v>
      </c>
      <c r="L25" s="10">
        <v>0</v>
      </c>
      <c r="M25" s="10">
        <v>12</v>
      </c>
      <c r="N25" s="10" t="s">
        <v>97</v>
      </c>
      <c r="O25" s="10" t="s">
        <v>104</v>
      </c>
      <c r="P25" s="10" t="s">
        <v>110</v>
      </c>
      <c r="Q25" s="10" t="s">
        <v>111</v>
      </c>
      <c r="R25" s="10">
        <v>61</v>
      </c>
      <c r="S25" s="10">
        <v>6</v>
      </c>
      <c r="T25" s="10">
        <v>6</v>
      </c>
      <c r="U25" s="10"/>
      <c r="V25" s="10" t="s">
        <v>97</v>
      </c>
      <c r="W25" s="10">
        <v>0.25</v>
      </c>
      <c r="X25" s="10">
        <v>19</v>
      </c>
      <c r="Y25" s="10" t="s">
        <v>98</v>
      </c>
      <c r="Z25" s="10" t="s">
        <v>97</v>
      </c>
      <c r="AA25" s="10" t="s">
        <v>93</v>
      </c>
      <c r="AB25" s="10" t="s">
        <v>93</v>
      </c>
      <c r="AC25" s="10" t="s">
        <v>93</v>
      </c>
      <c r="AD25" s="10" t="s">
        <v>97</v>
      </c>
      <c r="AE25" s="10" t="s">
        <v>112</v>
      </c>
      <c r="AF25" s="10" t="s">
        <v>97</v>
      </c>
      <c r="AG25" s="10" t="s">
        <v>105</v>
      </c>
      <c r="AH25" s="10"/>
      <c r="AI25" s="10"/>
      <c r="AJ25" s="10">
        <v>1130</v>
      </c>
      <c r="AK25" s="29">
        <f t="shared" si="42"/>
        <v>0.63157894736842102</v>
      </c>
      <c r="AL25" s="18" t="b">
        <f t="shared" si="43"/>
        <v>1</v>
      </c>
      <c r="AM25" s="10"/>
      <c r="AN25" s="10"/>
      <c r="AO25" s="18" t="e">
        <f t="shared" si="44"/>
        <v>#DIV/0!</v>
      </c>
      <c r="AP25" s="18" t="e">
        <f t="shared" si="45"/>
        <v>#DIV/0!</v>
      </c>
      <c r="AQ25" s="23" t="b">
        <f t="shared" si="46"/>
        <v>1</v>
      </c>
      <c r="AR25" s="18" t="b">
        <f t="shared" si="47"/>
        <v>0</v>
      </c>
      <c r="AS25" s="10" t="s">
        <v>41</v>
      </c>
      <c r="AT25" s="19" t="b">
        <f t="shared" si="48"/>
        <v>0</v>
      </c>
      <c r="AU25" s="18" t="b">
        <f t="shared" si="49"/>
        <v>1</v>
      </c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</row>
    <row r="26" spans="1:84" s="2" customFormat="1" x14ac:dyDescent="0.25">
      <c r="A26" s="10">
        <v>42</v>
      </c>
      <c r="B26" s="18" t="s">
        <v>129</v>
      </c>
      <c r="C26" s="19" t="s">
        <v>170</v>
      </c>
      <c r="D26" s="10">
        <v>6.7600000000000007</v>
      </c>
      <c r="E26" s="10"/>
      <c r="F26" s="18" t="s">
        <v>127</v>
      </c>
      <c r="G26" s="10"/>
      <c r="H26" s="18" t="s">
        <v>127</v>
      </c>
      <c r="I26" s="18" t="s">
        <v>127</v>
      </c>
      <c r="J26" s="10" t="s">
        <v>92</v>
      </c>
      <c r="K26" s="10">
        <v>1</v>
      </c>
      <c r="L26" s="10">
        <v>0</v>
      </c>
      <c r="M26" s="10">
        <v>4</v>
      </c>
      <c r="N26" s="10" t="s">
        <v>97</v>
      </c>
      <c r="O26" s="10" t="s">
        <v>94</v>
      </c>
      <c r="P26" s="10" t="s">
        <v>110</v>
      </c>
      <c r="Q26" s="10" t="s">
        <v>111</v>
      </c>
      <c r="R26" s="10">
        <v>38</v>
      </c>
      <c r="S26" s="10">
        <v>4</v>
      </c>
      <c r="T26" s="10">
        <v>4</v>
      </c>
      <c r="U26" s="10"/>
      <c r="V26" s="10" t="s">
        <v>97</v>
      </c>
      <c r="W26" s="14">
        <v>0.3</v>
      </c>
      <c r="X26" s="10">
        <v>6</v>
      </c>
      <c r="Y26" s="10" t="s">
        <v>100</v>
      </c>
      <c r="Z26" s="10" t="s">
        <v>93</v>
      </c>
      <c r="AA26" s="10" t="s">
        <v>93</v>
      </c>
      <c r="AB26" s="10" t="s">
        <v>93</v>
      </c>
      <c r="AC26" s="10" t="s">
        <v>93</v>
      </c>
      <c r="AD26" s="15" t="s">
        <v>93</v>
      </c>
      <c r="AE26" s="8" t="s">
        <v>103</v>
      </c>
      <c r="AF26" s="10" t="s">
        <v>93</v>
      </c>
      <c r="AG26" s="10" t="s">
        <v>100</v>
      </c>
      <c r="AH26" s="9"/>
      <c r="AI26" s="9"/>
      <c r="AJ26" s="10">
        <v>1600</v>
      </c>
      <c r="AK26" s="29">
        <f t="shared" ref="AK26:AK42" si="50">M26/X26</f>
        <v>0.66666666666666663</v>
      </c>
      <c r="AL26" s="18" t="b">
        <f t="shared" ref="AL26:AL42" si="51">OR(AK26&gt;1.5,AK26&lt;0.8)</f>
        <v>1</v>
      </c>
      <c r="AM26" s="10"/>
      <c r="AN26" s="10"/>
      <c r="AO26" s="18" t="e">
        <f t="shared" ref="AO26:AO42" si="52">M26/AN26</f>
        <v>#DIV/0!</v>
      </c>
      <c r="AP26" s="18" t="e">
        <f t="shared" ref="AP26:AP42" si="53">OR(AO26&gt;1.5,AO26&lt;0.8)</f>
        <v>#DIV/0!</v>
      </c>
      <c r="AQ26" s="23" t="b">
        <f t="shared" ref="AQ26:AQ42" si="54">OR(AK26&gt;1.5,AK26&lt;0.8,V26="N",L26&gt;0.01)</f>
        <v>1</v>
      </c>
      <c r="AR26" s="18" t="b">
        <f t="shared" ref="AR26:AR42" si="55">AND(J26="Span Bridge", AK26&gt;1)</f>
        <v>0</v>
      </c>
      <c r="AS26" s="17" t="s">
        <v>41</v>
      </c>
      <c r="AT26" s="19" t="b">
        <f t="shared" ref="AT26:AT42" si="56">AND(L26=0,AK26&gt;0.8,AK26&lt;1.5,V26="N",AD26="N")</f>
        <v>0</v>
      </c>
      <c r="AU26" s="18" t="b">
        <f t="shared" ref="AU26:AU42" si="57">AND(AQ26=TRUE,AR26=FALSE,AT26=FALSE)</f>
        <v>1</v>
      </c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</row>
    <row r="27" spans="1:84" s="2" customFormat="1" x14ac:dyDescent="0.25">
      <c r="A27" s="10">
        <v>21</v>
      </c>
      <c r="B27" s="18" t="s">
        <v>129</v>
      </c>
      <c r="C27" s="19" t="s">
        <v>149</v>
      </c>
      <c r="D27" s="10">
        <v>2.56</v>
      </c>
      <c r="E27" s="10">
        <v>1</v>
      </c>
      <c r="F27" s="18" t="s">
        <v>127</v>
      </c>
      <c r="G27" s="10">
        <v>42542</v>
      </c>
      <c r="H27" s="18" t="s">
        <v>127</v>
      </c>
      <c r="I27" s="18" t="s">
        <v>127</v>
      </c>
      <c r="J27" s="10" t="s">
        <v>92</v>
      </c>
      <c r="K27" s="10">
        <v>2</v>
      </c>
      <c r="L27" s="10">
        <v>0</v>
      </c>
      <c r="M27" s="10">
        <v>16</v>
      </c>
      <c r="N27" s="10" t="s">
        <v>97</v>
      </c>
      <c r="O27" s="10" t="s">
        <v>94</v>
      </c>
      <c r="P27" s="10" t="s">
        <v>113</v>
      </c>
      <c r="Q27" s="10" t="s">
        <v>111</v>
      </c>
      <c r="R27" s="10">
        <v>40</v>
      </c>
      <c r="S27" s="10">
        <v>8</v>
      </c>
      <c r="T27" s="10">
        <v>6</v>
      </c>
      <c r="U27" s="10"/>
      <c r="V27" s="10" t="s">
        <v>97</v>
      </c>
      <c r="W27" s="10">
        <v>0.2</v>
      </c>
      <c r="X27" s="10">
        <v>23</v>
      </c>
      <c r="Y27" s="10" t="s">
        <v>100</v>
      </c>
      <c r="Z27" s="10" t="s">
        <v>93</v>
      </c>
      <c r="AA27" s="10" t="s">
        <v>93</v>
      </c>
      <c r="AB27" s="10" t="s">
        <v>97</v>
      </c>
      <c r="AC27" s="10" t="s">
        <v>93</v>
      </c>
      <c r="AD27" s="10" t="s">
        <v>97</v>
      </c>
      <c r="AE27" s="10" t="s">
        <v>109</v>
      </c>
      <c r="AF27" s="10" t="s">
        <v>93</v>
      </c>
      <c r="AG27" s="10" t="s">
        <v>100</v>
      </c>
      <c r="AH27" s="10"/>
      <c r="AI27" s="10"/>
      <c r="AJ27" s="10">
        <v>2732</v>
      </c>
      <c r="AK27" s="29">
        <f t="shared" si="50"/>
        <v>0.69565217391304346</v>
      </c>
      <c r="AL27" s="18" t="b">
        <f t="shared" si="51"/>
        <v>1</v>
      </c>
      <c r="AM27" s="10"/>
      <c r="AN27" s="10"/>
      <c r="AO27" s="18" t="e">
        <f t="shared" si="52"/>
        <v>#DIV/0!</v>
      </c>
      <c r="AP27" s="18" t="e">
        <f t="shared" si="53"/>
        <v>#DIV/0!</v>
      </c>
      <c r="AQ27" s="23" t="b">
        <f t="shared" si="54"/>
        <v>1</v>
      </c>
      <c r="AR27" s="18" t="b">
        <f t="shared" si="55"/>
        <v>0</v>
      </c>
      <c r="AS27" s="10" t="s">
        <v>41</v>
      </c>
      <c r="AT27" s="19" t="b">
        <f t="shared" si="56"/>
        <v>0</v>
      </c>
      <c r="AU27" s="18" t="b">
        <f t="shared" si="57"/>
        <v>1</v>
      </c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</row>
    <row r="28" spans="1:84" s="2" customFormat="1" x14ac:dyDescent="0.25">
      <c r="A28" s="10">
        <v>22</v>
      </c>
      <c r="B28" s="18" t="s">
        <v>129</v>
      </c>
      <c r="C28" s="19" t="s">
        <v>150</v>
      </c>
      <c r="D28" s="10">
        <v>2.56</v>
      </c>
      <c r="E28" s="10">
        <v>2</v>
      </c>
      <c r="F28" s="18" t="s">
        <v>127</v>
      </c>
      <c r="G28" s="10">
        <v>42542</v>
      </c>
      <c r="H28" s="18" t="s">
        <v>127</v>
      </c>
      <c r="I28" s="18" t="s">
        <v>127</v>
      </c>
      <c r="J28" s="10" t="s">
        <v>92</v>
      </c>
      <c r="K28" s="10">
        <v>2</v>
      </c>
      <c r="L28" s="10">
        <v>0</v>
      </c>
      <c r="M28" s="10">
        <v>16</v>
      </c>
      <c r="N28" s="10" t="s">
        <v>97</v>
      </c>
      <c r="O28" s="10" t="s">
        <v>94</v>
      </c>
      <c r="P28" s="10" t="s">
        <v>113</v>
      </c>
      <c r="Q28" s="10" t="s">
        <v>111</v>
      </c>
      <c r="R28" s="10">
        <v>40</v>
      </c>
      <c r="S28" s="10">
        <v>8</v>
      </c>
      <c r="T28" s="10">
        <v>6</v>
      </c>
      <c r="U28" s="10"/>
      <c r="V28" s="10" t="s">
        <v>97</v>
      </c>
      <c r="W28" s="10">
        <v>0</v>
      </c>
      <c r="X28" s="10">
        <v>23</v>
      </c>
      <c r="Y28" s="10" t="s">
        <v>100</v>
      </c>
      <c r="Z28" s="10" t="s">
        <v>93</v>
      </c>
      <c r="AA28" s="10" t="s">
        <v>93</v>
      </c>
      <c r="AB28" s="10" t="s">
        <v>97</v>
      </c>
      <c r="AC28" s="10" t="s">
        <v>93</v>
      </c>
      <c r="AD28" s="10" t="s">
        <v>97</v>
      </c>
      <c r="AE28" s="10" t="s">
        <v>109</v>
      </c>
      <c r="AF28" s="10" t="s">
        <v>93</v>
      </c>
      <c r="AG28" s="10" t="s">
        <v>100</v>
      </c>
      <c r="AH28" s="10"/>
      <c r="AI28" s="10"/>
      <c r="AJ28" s="10">
        <v>2732</v>
      </c>
      <c r="AK28" s="29">
        <f t="shared" si="50"/>
        <v>0.69565217391304346</v>
      </c>
      <c r="AL28" s="18" t="b">
        <f t="shared" si="51"/>
        <v>1</v>
      </c>
      <c r="AM28" s="10"/>
      <c r="AN28" s="10"/>
      <c r="AO28" s="18" t="e">
        <f t="shared" si="52"/>
        <v>#DIV/0!</v>
      </c>
      <c r="AP28" s="18" t="e">
        <f t="shared" si="53"/>
        <v>#DIV/0!</v>
      </c>
      <c r="AQ28" s="23" t="b">
        <f t="shared" si="54"/>
        <v>1</v>
      </c>
      <c r="AR28" s="18" t="b">
        <f t="shared" si="55"/>
        <v>0</v>
      </c>
      <c r="AS28" s="10" t="s">
        <v>41</v>
      </c>
      <c r="AT28" s="19" t="b">
        <f t="shared" si="56"/>
        <v>0</v>
      </c>
      <c r="AU28" s="18" t="b">
        <f t="shared" si="57"/>
        <v>1</v>
      </c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</row>
    <row r="29" spans="1:84" s="6" customFormat="1" x14ac:dyDescent="0.25">
      <c r="A29" s="10">
        <v>23</v>
      </c>
      <c r="B29" s="18" t="s">
        <v>129</v>
      </c>
      <c r="C29" s="19" t="s">
        <v>151</v>
      </c>
      <c r="D29" s="10">
        <v>2.67</v>
      </c>
      <c r="E29" s="10">
        <v>1</v>
      </c>
      <c r="F29" s="18" t="s">
        <v>127</v>
      </c>
      <c r="G29" s="10">
        <v>42544</v>
      </c>
      <c r="H29" s="18" t="s">
        <v>127</v>
      </c>
      <c r="I29" s="18" t="s">
        <v>127</v>
      </c>
      <c r="J29" s="10" t="s">
        <v>92</v>
      </c>
      <c r="K29" s="10">
        <v>3</v>
      </c>
      <c r="L29" s="10">
        <v>0</v>
      </c>
      <c r="M29" s="10">
        <v>16.5</v>
      </c>
      <c r="N29" s="10" t="s">
        <v>97</v>
      </c>
      <c r="O29" s="10" t="s">
        <v>94</v>
      </c>
      <c r="P29" s="10" t="s">
        <v>95</v>
      </c>
      <c r="Q29" s="10" t="s">
        <v>111</v>
      </c>
      <c r="R29" s="10">
        <v>53</v>
      </c>
      <c r="S29" s="10">
        <v>5.5</v>
      </c>
      <c r="T29" s="10">
        <v>5.5</v>
      </c>
      <c r="U29" s="10"/>
      <c r="V29" s="10" t="s">
        <v>93</v>
      </c>
      <c r="W29" s="10">
        <v>0</v>
      </c>
      <c r="X29" s="10">
        <v>19</v>
      </c>
      <c r="Y29" s="10" t="s">
        <v>105</v>
      </c>
      <c r="Z29" s="10" t="s">
        <v>93</v>
      </c>
      <c r="AA29" s="10" t="s">
        <v>93</v>
      </c>
      <c r="AB29" s="10" t="s">
        <v>97</v>
      </c>
      <c r="AC29" s="10" t="s">
        <v>93</v>
      </c>
      <c r="AD29" s="10" t="s">
        <v>97</v>
      </c>
      <c r="AE29" s="10" t="s">
        <v>109</v>
      </c>
      <c r="AF29" s="10" t="s">
        <v>97</v>
      </c>
      <c r="AG29" s="10" t="s">
        <v>98</v>
      </c>
      <c r="AH29" s="10"/>
      <c r="AI29" s="10"/>
      <c r="AJ29" s="10">
        <v>2115</v>
      </c>
      <c r="AK29" s="29">
        <f t="shared" si="50"/>
        <v>0.86842105263157898</v>
      </c>
      <c r="AL29" s="18" t="b">
        <f t="shared" si="51"/>
        <v>0</v>
      </c>
      <c r="AM29" s="10"/>
      <c r="AN29" s="10"/>
      <c r="AO29" s="18" t="e">
        <f t="shared" si="52"/>
        <v>#DIV/0!</v>
      </c>
      <c r="AP29" s="18" t="e">
        <f t="shared" si="53"/>
        <v>#DIV/0!</v>
      </c>
      <c r="AQ29" s="23" t="b">
        <f t="shared" si="54"/>
        <v>1</v>
      </c>
      <c r="AR29" s="18" t="b">
        <f t="shared" si="55"/>
        <v>0</v>
      </c>
      <c r="AS29" s="10" t="s">
        <v>42</v>
      </c>
      <c r="AT29" s="19" t="b">
        <f t="shared" si="56"/>
        <v>0</v>
      </c>
      <c r="AU29" s="18" t="b">
        <f t="shared" si="57"/>
        <v>1</v>
      </c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</row>
    <row r="30" spans="1:84" s="6" customFormat="1" x14ac:dyDescent="0.25">
      <c r="A30" s="10">
        <v>24</v>
      </c>
      <c r="B30" s="18" t="s">
        <v>129</v>
      </c>
      <c r="C30" s="19" t="s">
        <v>152</v>
      </c>
      <c r="D30" s="10">
        <v>2.67</v>
      </c>
      <c r="E30" s="10">
        <v>2</v>
      </c>
      <c r="F30" s="18" t="s">
        <v>127</v>
      </c>
      <c r="G30" s="10">
        <v>42544</v>
      </c>
      <c r="H30" s="18" t="s">
        <v>127</v>
      </c>
      <c r="I30" s="18" t="s">
        <v>127</v>
      </c>
      <c r="J30" s="10" t="s">
        <v>92</v>
      </c>
      <c r="K30" s="10">
        <v>3</v>
      </c>
      <c r="L30" s="10">
        <v>0</v>
      </c>
      <c r="M30" s="10">
        <v>16.5</v>
      </c>
      <c r="N30" s="10" t="s">
        <v>97</v>
      </c>
      <c r="O30" s="10" t="s">
        <v>94</v>
      </c>
      <c r="P30" s="10" t="s">
        <v>95</v>
      </c>
      <c r="Q30" s="10" t="s">
        <v>111</v>
      </c>
      <c r="R30" s="10">
        <v>53</v>
      </c>
      <c r="S30" s="10">
        <v>5.5</v>
      </c>
      <c r="T30" s="10">
        <v>5.5</v>
      </c>
      <c r="U30" s="10"/>
      <c r="V30" s="10" t="s">
        <v>93</v>
      </c>
      <c r="W30" s="10">
        <v>0</v>
      </c>
      <c r="X30" s="10">
        <v>19</v>
      </c>
      <c r="Y30" s="10" t="s">
        <v>105</v>
      </c>
      <c r="Z30" s="10" t="s">
        <v>93</v>
      </c>
      <c r="AA30" s="10" t="s">
        <v>93</v>
      </c>
      <c r="AB30" s="10" t="s">
        <v>97</v>
      </c>
      <c r="AC30" s="10" t="s">
        <v>93</v>
      </c>
      <c r="AD30" s="10" t="s">
        <v>97</v>
      </c>
      <c r="AE30" s="10" t="s">
        <v>109</v>
      </c>
      <c r="AF30" s="10" t="s">
        <v>97</v>
      </c>
      <c r="AG30" s="10" t="s">
        <v>98</v>
      </c>
      <c r="AH30" s="10"/>
      <c r="AI30" s="10"/>
      <c r="AJ30" s="10">
        <v>2115</v>
      </c>
      <c r="AK30" s="29">
        <f t="shared" si="50"/>
        <v>0.86842105263157898</v>
      </c>
      <c r="AL30" s="18" t="b">
        <f t="shared" si="51"/>
        <v>0</v>
      </c>
      <c r="AM30" s="10"/>
      <c r="AN30" s="10"/>
      <c r="AO30" s="18" t="e">
        <f t="shared" si="52"/>
        <v>#DIV/0!</v>
      </c>
      <c r="AP30" s="18" t="e">
        <f t="shared" si="53"/>
        <v>#DIV/0!</v>
      </c>
      <c r="AQ30" s="23" t="b">
        <f t="shared" si="54"/>
        <v>1</v>
      </c>
      <c r="AR30" s="18" t="b">
        <f t="shared" si="55"/>
        <v>0</v>
      </c>
      <c r="AS30" s="10" t="s">
        <v>42</v>
      </c>
      <c r="AT30" s="19" t="b">
        <f t="shared" si="56"/>
        <v>0</v>
      </c>
      <c r="AU30" s="18" t="b">
        <f t="shared" si="57"/>
        <v>1</v>
      </c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</row>
    <row r="31" spans="1:84" s="6" customFormat="1" x14ac:dyDescent="0.25">
      <c r="A31" s="10">
        <v>25</v>
      </c>
      <c r="B31" s="18" t="s">
        <v>129</v>
      </c>
      <c r="C31" s="19" t="s">
        <v>153</v>
      </c>
      <c r="D31" s="10">
        <v>2.67</v>
      </c>
      <c r="E31" s="10">
        <v>3</v>
      </c>
      <c r="F31" s="18" t="s">
        <v>127</v>
      </c>
      <c r="G31" s="10">
        <v>42544</v>
      </c>
      <c r="H31" s="18" t="s">
        <v>127</v>
      </c>
      <c r="I31" s="18" t="s">
        <v>127</v>
      </c>
      <c r="J31" s="10" t="s">
        <v>92</v>
      </c>
      <c r="K31" s="10">
        <v>3</v>
      </c>
      <c r="L31" s="10">
        <v>0</v>
      </c>
      <c r="M31" s="10">
        <v>16.5</v>
      </c>
      <c r="N31" s="10" t="s">
        <v>97</v>
      </c>
      <c r="O31" s="10" t="s">
        <v>94</v>
      </c>
      <c r="P31" s="10" t="s">
        <v>95</v>
      </c>
      <c r="Q31" s="10" t="s">
        <v>111</v>
      </c>
      <c r="R31" s="10">
        <v>53</v>
      </c>
      <c r="S31" s="10">
        <v>5.5</v>
      </c>
      <c r="T31" s="10">
        <v>5.5</v>
      </c>
      <c r="U31" s="10"/>
      <c r="V31" s="10" t="s">
        <v>93</v>
      </c>
      <c r="W31" s="10">
        <v>0</v>
      </c>
      <c r="X31" s="10">
        <v>19</v>
      </c>
      <c r="Y31" s="10" t="s">
        <v>105</v>
      </c>
      <c r="Z31" s="10" t="s">
        <v>93</v>
      </c>
      <c r="AA31" s="10" t="s">
        <v>93</v>
      </c>
      <c r="AB31" s="10" t="s">
        <v>97</v>
      </c>
      <c r="AC31" s="10" t="s">
        <v>93</v>
      </c>
      <c r="AD31" s="10" t="s">
        <v>97</v>
      </c>
      <c r="AE31" s="10" t="s">
        <v>109</v>
      </c>
      <c r="AF31" s="10" t="s">
        <v>97</v>
      </c>
      <c r="AG31" s="10" t="s">
        <v>98</v>
      </c>
      <c r="AH31" s="10"/>
      <c r="AI31" s="10"/>
      <c r="AJ31" s="10">
        <v>2115</v>
      </c>
      <c r="AK31" s="29">
        <f t="shared" si="50"/>
        <v>0.86842105263157898</v>
      </c>
      <c r="AL31" s="18" t="b">
        <f t="shared" si="51"/>
        <v>0</v>
      </c>
      <c r="AM31" s="10"/>
      <c r="AN31" s="10"/>
      <c r="AO31" s="18" t="e">
        <f t="shared" si="52"/>
        <v>#DIV/0!</v>
      </c>
      <c r="AP31" s="18" t="e">
        <f t="shared" si="53"/>
        <v>#DIV/0!</v>
      </c>
      <c r="AQ31" s="23" t="b">
        <f t="shared" si="54"/>
        <v>1</v>
      </c>
      <c r="AR31" s="18" t="b">
        <f t="shared" si="55"/>
        <v>0</v>
      </c>
      <c r="AS31" s="10" t="s">
        <v>42</v>
      </c>
      <c r="AT31" s="19" t="b">
        <f t="shared" si="56"/>
        <v>0</v>
      </c>
      <c r="AU31" s="18" t="b">
        <f t="shared" si="57"/>
        <v>1</v>
      </c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</row>
    <row r="32" spans="1:84" s="2" customFormat="1" x14ac:dyDescent="0.25">
      <c r="A32" s="10">
        <v>48</v>
      </c>
      <c r="B32" s="18" t="s">
        <v>129</v>
      </c>
      <c r="C32" s="19" t="s">
        <v>176</v>
      </c>
      <c r="D32" s="10">
        <v>0.56000000000000005</v>
      </c>
      <c r="E32" s="10"/>
      <c r="F32" s="18" t="s">
        <v>127</v>
      </c>
      <c r="G32" s="13">
        <v>42550</v>
      </c>
      <c r="H32" s="18" t="s">
        <v>127</v>
      </c>
      <c r="I32" s="18" t="s">
        <v>127</v>
      </c>
      <c r="J32" s="10" t="s">
        <v>92</v>
      </c>
      <c r="K32" s="10"/>
      <c r="L32" s="10">
        <v>0</v>
      </c>
      <c r="M32" s="10">
        <v>5</v>
      </c>
      <c r="N32" s="10" t="s">
        <v>97</v>
      </c>
      <c r="O32" s="10" t="s">
        <v>94</v>
      </c>
      <c r="P32" s="10" t="s">
        <v>113</v>
      </c>
      <c r="Q32" s="10" t="s">
        <v>96</v>
      </c>
      <c r="R32" s="10">
        <v>106</v>
      </c>
      <c r="S32" s="10">
        <v>5</v>
      </c>
      <c r="T32" s="10">
        <v>4</v>
      </c>
      <c r="U32" s="10"/>
      <c r="V32" s="10" t="s">
        <v>97</v>
      </c>
      <c r="W32" s="14">
        <v>0</v>
      </c>
      <c r="X32" s="10">
        <v>12</v>
      </c>
      <c r="Y32" s="10" t="s">
        <v>98</v>
      </c>
      <c r="Z32" s="10" t="s">
        <v>93</v>
      </c>
      <c r="AA32" s="10" t="s">
        <v>97</v>
      </c>
      <c r="AB32" s="10" t="s">
        <v>93</v>
      </c>
      <c r="AC32" s="10" t="s">
        <v>93</v>
      </c>
      <c r="AD32" s="15" t="s">
        <v>93</v>
      </c>
      <c r="AE32" s="8" t="s">
        <v>103</v>
      </c>
      <c r="AF32" s="10" t="s">
        <v>93</v>
      </c>
      <c r="AG32" s="10" t="s">
        <v>100</v>
      </c>
      <c r="AH32" s="9"/>
      <c r="AI32" s="9"/>
      <c r="AJ32" s="10">
        <v>9977</v>
      </c>
      <c r="AK32" s="29">
        <f t="shared" si="50"/>
        <v>0.41666666666666669</v>
      </c>
      <c r="AL32" s="18" t="b">
        <f t="shared" si="51"/>
        <v>1</v>
      </c>
      <c r="AM32" s="10"/>
      <c r="AN32" s="10"/>
      <c r="AO32" s="18" t="e">
        <f t="shared" si="52"/>
        <v>#DIV/0!</v>
      </c>
      <c r="AP32" s="18" t="e">
        <f t="shared" si="53"/>
        <v>#DIV/0!</v>
      </c>
      <c r="AQ32" s="23" t="b">
        <f t="shared" si="54"/>
        <v>1</v>
      </c>
      <c r="AR32" s="18" t="b">
        <f t="shared" si="55"/>
        <v>0</v>
      </c>
      <c r="AS32" s="10" t="s">
        <v>41</v>
      </c>
      <c r="AT32" s="19" t="b">
        <f t="shared" si="56"/>
        <v>0</v>
      </c>
      <c r="AU32" s="18" t="b">
        <f t="shared" si="57"/>
        <v>1</v>
      </c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</row>
    <row r="33" spans="1:84" s="2" customFormat="1" x14ac:dyDescent="0.25">
      <c r="A33" s="10">
        <v>49</v>
      </c>
      <c r="B33" s="18" t="s">
        <v>129</v>
      </c>
      <c r="C33" s="19" t="s">
        <v>177</v>
      </c>
      <c r="D33" s="10">
        <v>0.94000000000000006</v>
      </c>
      <c r="E33" s="10"/>
      <c r="F33" s="18" t="s">
        <v>127</v>
      </c>
      <c r="G33" s="13">
        <v>42550</v>
      </c>
      <c r="H33" s="18" t="s">
        <v>127</v>
      </c>
      <c r="I33" s="18" t="s">
        <v>127</v>
      </c>
      <c r="J33" s="10" t="s">
        <v>92</v>
      </c>
      <c r="K33" s="10"/>
      <c r="L33" s="10">
        <v>0</v>
      </c>
      <c r="M33" s="10">
        <v>4</v>
      </c>
      <c r="N33" s="10" t="s">
        <v>93</v>
      </c>
      <c r="O33" s="10" t="s">
        <v>94</v>
      </c>
      <c r="P33" s="10" t="s">
        <v>107</v>
      </c>
      <c r="Q33" s="10" t="s">
        <v>96</v>
      </c>
      <c r="R33" s="10">
        <v>52</v>
      </c>
      <c r="S33" s="10">
        <v>4</v>
      </c>
      <c r="T33" s="10">
        <v>6</v>
      </c>
      <c r="U33" s="10"/>
      <c r="V33" s="10" t="s">
        <v>93</v>
      </c>
      <c r="W33" s="14">
        <v>0</v>
      </c>
      <c r="X33" s="10">
        <v>8</v>
      </c>
      <c r="Y33" s="10" t="s">
        <v>100</v>
      </c>
      <c r="Z33" s="10" t="s">
        <v>93</v>
      </c>
      <c r="AA33" s="10" t="s">
        <v>93</v>
      </c>
      <c r="AB33" s="10" t="s">
        <v>97</v>
      </c>
      <c r="AC33" s="10" t="s">
        <v>97</v>
      </c>
      <c r="AD33" s="15" t="s">
        <v>93</v>
      </c>
      <c r="AE33" s="8" t="s">
        <v>103</v>
      </c>
      <c r="AF33" s="10" t="s">
        <v>97</v>
      </c>
      <c r="AG33" s="10" t="s">
        <v>98</v>
      </c>
      <c r="AH33" s="9"/>
      <c r="AI33" s="9"/>
      <c r="AJ33" s="10">
        <v>8057</v>
      </c>
      <c r="AK33" s="29">
        <f t="shared" si="50"/>
        <v>0.5</v>
      </c>
      <c r="AL33" s="18" t="b">
        <f t="shared" si="51"/>
        <v>1</v>
      </c>
      <c r="AM33" s="10"/>
      <c r="AN33" s="10"/>
      <c r="AO33" s="18" t="e">
        <f t="shared" si="52"/>
        <v>#DIV/0!</v>
      </c>
      <c r="AP33" s="18" t="e">
        <f t="shared" si="53"/>
        <v>#DIV/0!</v>
      </c>
      <c r="AQ33" s="23" t="b">
        <f t="shared" si="54"/>
        <v>1</v>
      </c>
      <c r="AR33" s="18" t="b">
        <f t="shared" si="55"/>
        <v>0</v>
      </c>
      <c r="AS33" s="10" t="s">
        <v>41</v>
      </c>
      <c r="AT33" s="19" t="b">
        <f t="shared" si="56"/>
        <v>0</v>
      </c>
      <c r="AU33" s="18" t="b">
        <f t="shared" si="57"/>
        <v>1</v>
      </c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</row>
    <row r="34" spans="1:84" s="2" customFormat="1" x14ac:dyDescent="0.25">
      <c r="A34" s="10">
        <v>28</v>
      </c>
      <c r="B34" s="18" t="s">
        <v>129</v>
      </c>
      <c r="C34" s="19" t="s">
        <v>156</v>
      </c>
      <c r="D34" s="10">
        <v>2.78</v>
      </c>
      <c r="E34" s="10"/>
      <c r="F34" s="18" t="s">
        <v>127</v>
      </c>
      <c r="G34" s="10">
        <v>42544</v>
      </c>
      <c r="H34" s="18" t="s">
        <v>127</v>
      </c>
      <c r="I34" s="18" t="s">
        <v>127</v>
      </c>
      <c r="J34" s="10" t="s">
        <v>92</v>
      </c>
      <c r="K34" s="10"/>
      <c r="L34" s="10">
        <v>0</v>
      </c>
      <c r="M34" s="10">
        <v>10</v>
      </c>
      <c r="N34" s="10" t="s">
        <v>97</v>
      </c>
      <c r="O34" s="10" t="s">
        <v>94</v>
      </c>
      <c r="P34" s="10" t="s">
        <v>107</v>
      </c>
      <c r="Q34" s="10" t="s">
        <v>96</v>
      </c>
      <c r="R34" s="10">
        <v>24</v>
      </c>
      <c r="S34" s="10">
        <v>10</v>
      </c>
      <c r="T34" s="10">
        <v>4</v>
      </c>
      <c r="U34" s="10"/>
      <c r="V34" s="10" t="s">
        <v>97</v>
      </c>
      <c r="W34" s="10">
        <v>0.1</v>
      </c>
      <c r="X34" s="10">
        <v>17</v>
      </c>
      <c r="Y34" s="10" t="s">
        <v>105</v>
      </c>
      <c r="Z34" s="10" t="s">
        <v>93</v>
      </c>
      <c r="AA34" s="10" t="s">
        <v>93</v>
      </c>
      <c r="AB34" s="10" t="s">
        <v>97</v>
      </c>
      <c r="AC34" s="10" t="s">
        <v>93</v>
      </c>
      <c r="AD34" s="10" t="s">
        <v>93</v>
      </c>
      <c r="AE34" s="10" t="s">
        <v>103</v>
      </c>
      <c r="AF34" s="10" t="s">
        <v>97</v>
      </c>
      <c r="AG34" s="10" t="s">
        <v>98</v>
      </c>
      <c r="AH34" s="10"/>
      <c r="AI34" s="10"/>
      <c r="AJ34" s="10">
        <v>1564</v>
      </c>
      <c r="AK34" s="29">
        <f t="shared" si="50"/>
        <v>0.58823529411764708</v>
      </c>
      <c r="AL34" s="18" t="b">
        <f t="shared" si="51"/>
        <v>1</v>
      </c>
      <c r="AM34" s="10"/>
      <c r="AN34" s="10"/>
      <c r="AO34" s="18" t="e">
        <f t="shared" si="52"/>
        <v>#DIV/0!</v>
      </c>
      <c r="AP34" s="18" t="e">
        <f t="shared" si="53"/>
        <v>#DIV/0!</v>
      </c>
      <c r="AQ34" s="23" t="b">
        <f t="shared" si="54"/>
        <v>1</v>
      </c>
      <c r="AR34" s="18" t="b">
        <f t="shared" si="55"/>
        <v>0</v>
      </c>
      <c r="AS34" s="10" t="s">
        <v>42</v>
      </c>
      <c r="AT34" s="19" t="b">
        <f t="shared" si="56"/>
        <v>0</v>
      </c>
      <c r="AU34" s="18" t="b">
        <f t="shared" si="57"/>
        <v>1</v>
      </c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</row>
    <row r="35" spans="1:84" s="2" customFormat="1" x14ac:dyDescent="0.25">
      <c r="A35" s="10">
        <v>29</v>
      </c>
      <c r="B35" s="18" t="s">
        <v>129</v>
      </c>
      <c r="C35" s="19" t="s">
        <v>157</v>
      </c>
      <c r="D35" s="10">
        <v>2.8299999999999996</v>
      </c>
      <c r="E35" s="10"/>
      <c r="F35" s="18" t="s">
        <v>127</v>
      </c>
      <c r="G35" s="10">
        <v>42544</v>
      </c>
      <c r="H35" s="18" t="s">
        <v>127</v>
      </c>
      <c r="I35" s="18" t="s">
        <v>127</v>
      </c>
      <c r="J35" s="10" t="s">
        <v>101</v>
      </c>
      <c r="K35" s="10"/>
      <c r="L35" s="10">
        <v>0</v>
      </c>
      <c r="M35" s="10">
        <v>12</v>
      </c>
      <c r="N35" s="10" t="s">
        <v>93</v>
      </c>
      <c r="O35" s="10" t="s">
        <v>94</v>
      </c>
      <c r="P35" s="10" t="s">
        <v>102</v>
      </c>
      <c r="Q35" s="10" t="s">
        <v>106</v>
      </c>
      <c r="R35" s="10">
        <v>12</v>
      </c>
      <c r="S35" s="10">
        <v>12</v>
      </c>
      <c r="T35" s="10">
        <v>4.5</v>
      </c>
      <c r="U35" s="10"/>
      <c r="V35" s="10" t="s">
        <v>97</v>
      </c>
      <c r="W35" s="10">
        <v>0</v>
      </c>
      <c r="X35" s="10">
        <v>17</v>
      </c>
      <c r="Y35" s="10" t="s">
        <v>105</v>
      </c>
      <c r="Z35" s="10" t="s">
        <v>93</v>
      </c>
      <c r="AA35" s="10" t="s">
        <v>93</v>
      </c>
      <c r="AB35" s="10" t="s">
        <v>93</v>
      </c>
      <c r="AC35" s="10" t="s">
        <v>93</v>
      </c>
      <c r="AD35" s="10" t="s">
        <v>93</v>
      </c>
      <c r="AE35" s="10" t="s">
        <v>103</v>
      </c>
      <c r="AF35" s="10" t="s">
        <v>97</v>
      </c>
      <c r="AG35" s="10" t="s">
        <v>105</v>
      </c>
      <c r="AH35" s="10"/>
      <c r="AI35" s="10"/>
      <c r="AJ35" s="10">
        <v>1354</v>
      </c>
      <c r="AK35" s="29">
        <f t="shared" si="50"/>
        <v>0.70588235294117652</v>
      </c>
      <c r="AL35" s="18" t="b">
        <f t="shared" si="51"/>
        <v>1</v>
      </c>
      <c r="AM35" s="10"/>
      <c r="AN35" s="10"/>
      <c r="AO35" s="18" t="e">
        <f t="shared" si="52"/>
        <v>#DIV/0!</v>
      </c>
      <c r="AP35" s="18" t="e">
        <f t="shared" si="53"/>
        <v>#DIV/0!</v>
      </c>
      <c r="AQ35" s="23" t="b">
        <f t="shared" si="54"/>
        <v>1</v>
      </c>
      <c r="AR35" s="18" t="b">
        <f t="shared" si="55"/>
        <v>0</v>
      </c>
      <c r="AS35" s="10" t="s">
        <v>42</v>
      </c>
      <c r="AT35" s="19" t="b">
        <f t="shared" si="56"/>
        <v>0</v>
      </c>
      <c r="AU35" s="18" t="b">
        <f t="shared" si="57"/>
        <v>1</v>
      </c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</row>
    <row r="36" spans="1:84" s="2" customFormat="1" x14ac:dyDescent="0.25">
      <c r="A36" s="10">
        <v>30</v>
      </c>
      <c r="B36" s="18" t="s">
        <v>129</v>
      </c>
      <c r="C36" s="19" t="s">
        <v>158</v>
      </c>
      <c r="D36" s="10">
        <v>3.13</v>
      </c>
      <c r="E36" s="10">
        <v>1</v>
      </c>
      <c r="F36" s="18" t="s">
        <v>127</v>
      </c>
      <c r="G36" s="10">
        <v>42544</v>
      </c>
      <c r="H36" s="18" t="s">
        <v>127</v>
      </c>
      <c r="I36" s="18" t="s">
        <v>127</v>
      </c>
      <c r="J36" s="10" t="s">
        <v>92</v>
      </c>
      <c r="K36" s="10">
        <v>2</v>
      </c>
      <c r="L36" s="10">
        <v>1</v>
      </c>
      <c r="M36" s="10">
        <v>20</v>
      </c>
      <c r="N36" s="10" t="s">
        <v>93</v>
      </c>
      <c r="O36" s="10" t="s">
        <v>94</v>
      </c>
      <c r="P36" s="10" t="s">
        <v>113</v>
      </c>
      <c r="Q36" s="10" t="s">
        <v>111</v>
      </c>
      <c r="R36" s="10">
        <v>37</v>
      </c>
      <c r="S36" s="10">
        <v>10</v>
      </c>
      <c r="T36" s="10">
        <v>6</v>
      </c>
      <c r="U36" s="10"/>
      <c r="V36" s="10" t="s">
        <v>93</v>
      </c>
      <c r="W36" s="10">
        <v>0.5</v>
      </c>
      <c r="X36" s="10">
        <v>20</v>
      </c>
      <c r="Y36" s="10" t="s">
        <v>98</v>
      </c>
      <c r="Z36" s="10" t="s">
        <v>97</v>
      </c>
      <c r="AA36" s="10" t="s">
        <v>93</v>
      </c>
      <c r="AB36" s="10" t="s">
        <v>93</v>
      </c>
      <c r="AC36" s="10" t="s">
        <v>97</v>
      </c>
      <c r="AD36" s="10" t="s">
        <v>97</v>
      </c>
      <c r="AE36" s="10" t="s">
        <v>114</v>
      </c>
      <c r="AF36" s="10" t="s">
        <v>97</v>
      </c>
      <c r="AG36" s="10" t="s">
        <v>98</v>
      </c>
      <c r="AH36" s="10"/>
      <c r="AI36" s="10"/>
      <c r="AJ36" s="10">
        <v>3176</v>
      </c>
      <c r="AK36" s="29">
        <f t="shared" si="50"/>
        <v>1</v>
      </c>
      <c r="AL36" s="18" t="b">
        <f t="shared" si="51"/>
        <v>0</v>
      </c>
      <c r="AM36" s="10"/>
      <c r="AN36" s="10"/>
      <c r="AO36" s="18" t="e">
        <f t="shared" si="52"/>
        <v>#DIV/0!</v>
      </c>
      <c r="AP36" s="18" t="e">
        <f t="shared" si="53"/>
        <v>#DIV/0!</v>
      </c>
      <c r="AQ36" s="23" t="b">
        <f t="shared" si="54"/>
        <v>1</v>
      </c>
      <c r="AR36" s="18" t="b">
        <f t="shared" si="55"/>
        <v>0</v>
      </c>
      <c r="AS36" s="10" t="s">
        <v>42</v>
      </c>
      <c r="AT36" s="19" t="b">
        <f t="shared" si="56"/>
        <v>0</v>
      </c>
      <c r="AU36" s="18" t="b">
        <f t="shared" si="57"/>
        <v>1</v>
      </c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</row>
    <row r="37" spans="1:84" s="2" customFormat="1" x14ac:dyDescent="0.25">
      <c r="A37" s="10">
        <v>31</v>
      </c>
      <c r="B37" s="18" t="s">
        <v>129</v>
      </c>
      <c r="C37" s="19" t="s">
        <v>159</v>
      </c>
      <c r="D37" s="10">
        <v>3.13</v>
      </c>
      <c r="E37" s="10">
        <v>2</v>
      </c>
      <c r="F37" s="18" t="s">
        <v>127</v>
      </c>
      <c r="G37" s="10">
        <v>42544</v>
      </c>
      <c r="H37" s="18" t="s">
        <v>127</v>
      </c>
      <c r="I37" s="18" t="s">
        <v>127</v>
      </c>
      <c r="J37" s="10" t="s">
        <v>92</v>
      </c>
      <c r="K37" s="10">
        <v>2</v>
      </c>
      <c r="L37" s="10">
        <v>1</v>
      </c>
      <c r="M37" s="10">
        <v>20</v>
      </c>
      <c r="N37" s="10" t="s">
        <v>93</v>
      </c>
      <c r="O37" s="10" t="s">
        <v>104</v>
      </c>
      <c r="P37" s="10" t="s">
        <v>113</v>
      </c>
      <c r="Q37" s="10" t="s">
        <v>111</v>
      </c>
      <c r="R37" s="10">
        <v>37</v>
      </c>
      <c r="S37" s="10">
        <v>10</v>
      </c>
      <c r="T37" s="10">
        <v>6</v>
      </c>
      <c r="U37" s="10"/>
      <c r="V37" s="10" t="s">
        <v>93</v>
      </c>
      <c r="W37" s="10">
        <v>0.75</v>
      </c>
      <c r="X37" s="10">
        <v>20</v>
      </c>
      <c r="Y37" s="10" t="s">
        <v>98</v>
      </c>
      <c r="Z37" s="10" t="s">
        <v>97</v>
      </c>
      <c r="AA37" s="10" t="s">
        <v>93</v>
      </c>
      <c r="AB37" s="10" t="s">
        <v>93</v>
      </c>
      <c r="AC37" s="10" t="s">
        <v>97</v>
      </c>
      <c r="AD37" s="10" t="s">
        <v>97</v>
      </c>
      <c r="AE37" s="10" t="s">
        <v>114</v>
      </c>
      <c r="AF37" s="10" t="s">
        <v>97</v>
      </c>
      <c r="AG37" s="10" t="s">
        <v>98</v>
      </c>
      <c r="AH37" s="10"/>
      <c r="AI37" s="10"/>
      <c r="AJ37" s="10">
        <v>3176</v>
      </c>
      <c r="AK37" s="29">
        <f t="shared" si="50"/>
        <v>1</v>
      </c>
      <c r="AL37" s="18" t="b">
        <f t="shared" si="51"/>
        <v>0</v>
      </c>
      <c r="AM37" s="10"/>
      <c r="AN37" s="10"/>
      <c r="AO37" s="18" t="e">
        <f t="shared" si="52"/>
        <v>#DIV/0!</v>
      </c>
      <c r="AP37" s="18" t="e">
        <f t="shared" si="53"/>
        <v>#DIV/0!</v>
      </c>
      <c r="AQ37" s="23" t="b">
        <f t="shared" si="54"/>
        <v>1</v>
      </c>
      <c r="AR37" s="18" t="b">
        <f t="shared" si="55"/>
        <v>0</v>
      </c>
      <c r="AS37" s="10" t="s">
        <v>42</v>
      </c>
      <c r="AT37" s="19" t="b">
        <f t="shared" si="56"/>
        <v>0</v>
      </c>
      <c r="AU37" s="18" t="b">
        <f t="shared" si="57"/>
        <v>1</v>
      </c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</row>
    <row r="38" spans="1:84" s="2" customFormat="1" x14ac:dyDescent="0.25">
      <c r="A38" s="10">
        <v>32</v>
      </c>
      <c r="B38" s="18" t="s">
        <v>129</v>
      </c>
      <c r="C38" s="19" t="s">
        <v>160</v>
      </c>
      <c r="D38" s="10">
        <v>3.57</v>
      </c>
      <c r="E38" s="10">
        <v>1</v>
      </c>
      <c r="F38" s="18" t="s">
        <v>127</v>
      </c>
      <c r="G38" s="10">
        <v>42544</v>
      </c>
      <c r="H38" s="18" t="s">
        <v>127</v>
      </c>
      <c r="I38" s="18" t="s">
        <v>127</v>
      </c>
      <c r="J38" s="10" t="s">
        <v>92</v>
      </c>
      <c r="K38" s="10">
        <v>2</v>
      </c>
      <c r="L38" s="10">
        <v>0.7</v>
      </c>
      <c r="M38" s="10">
        <v>9</v>
      </c>
      <c r="N38" s="10" t="s">
        <v>97</v>
      </c>
      <c r="O38" s="10" t="s">
        <v>94</v>
      </c>
      <c r="P38" s="10" t="s">
        <v>110</v>
      </c>
      <c r="Q38" s="10" t="s">
        <v>96</v>
      </c>
      <c r="R38" s="10">
        <v>48</v>
      </c>
      <c r="S38" s="10">
        <v>4.5</v>
      </c>
      <c r="T38" s="10">
        <v>4.5</v>
      </c>
      <c r="U38" s="10"/>
      <c r="V38" s="10" t="s">
        <v>93</v>
      </c>
      <c r="W38" s="10">
        <v>0</v>
      </c>
      <c r="X38" s="10">
        <v>20</v>
      </c>
      <c r="Y38" s="10" t="s">
        <v>105</v>
      </c>
      <c r="Z38" s="10" t="s">
        <v>93</v>
      </c>
      <c r="AA38" s="10" t="s">
        <v>93</v>
      </c>
      <c r="AB38" s="10" t="s">
        <v>93</v>
      </c>
      <c r="AC38" s="10" t="s">
        <v>93</v>
      </c>
      <c r="AD38" s="10" t="s">
        <v>97</v>
      </c>
      <c r="AE38" s="10" t="s">
        <v>115</v>
      </c>
      <c r="AF38" s="10" t="s">
        <v>93</v>
      </c>
      <c r="AG38" s="10" t="s">
        <v>98</v>
      </c>
      <c r="AH38" s="10"/>
      <c r="AI38" s="10"/>
      <c r="AJ38" s="10">
        <v>4339</v>
      </c>
      <c r="AK38" s="29">
        <f t="shared" si="50"/>
        <v>0.45</v>
      </c>
      <c r="AL38" s="18" t="b">
        <f t="shared" si="51"/>
        <v>1</v>
      </c>
      <c r="AM38" s="10"/>
      <c r="AN38" s="10"/>
      <c r="AO38" s="18" t="e">
        <f t="shared" si="52"/>
        <v>#DIV/0!</v>
      </c>
      <c r="AP38" s="18" t="e">
        <f t="shared" si="53"/>
        <v>#DIV/0!</v>
      </c>
      <c r="AQ38" s="23" t="b">
        <f t="shared" si="54"/>
        <v>1</v>
      </c>
      <c r="AR38" s="18" t="b">
        <f t="shared" si="55"/>
        <v>0</v>
      </c>
      <c r="AS38" s="10" t="s">
        <v>41</v>
      </c>
      <c r="AT38" s="19" t="b">
        <f t="shared" si="56"/>
        <v>0</v>
      </c>
      <c r="AU38" s="18" t="b">
        <f t="shared" si="57"/>
        <v>1</v>
      </c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</row>
    <row r="39" spans="1:84" s="2" customFormat="1" x14ac:dyDescent="0.25">
      <c r="A39" s="10">
        <v>33</v>
      </c>
      <c r="B39" s="18" t="s">
        <v>129</v>
      </c>
      <c r="C39" s="19" t="s">
        <v>161</v>
      </c>
      <c r="D39" s="10">
        <v>3.57</v>
      </c>
      <c r="E39" s="10">
        <v>2</v>
      </c>
      <c r="F39" s="18" t="s">
        <v>127</v>
      </c>
      <c r="G39" s="13">
        <v>42544</v>
      </c>
      <c r="H39" s="18" t="s">
        <v>127</v>
      </c>
      <c r="I39" s="18" t="s">
        <v>127</v>
      </c>
      <c r="J39" s="10" t="s">
        <v>92</v>
      </c>
      <c r="K39" s="10">
        <v>2</v>
      </c>
      <c r="L39" s="10">
        <v>0.7</v>
      </c>
      <c r="M39" s="10">
        <v>9</v>
      </c>
      <c r="N39" s="10" t="s">
        <v>97</v>
      </c>
      <c r="O39" s="10" t="s">
        <v>94</v>
      </c>
      <c r="P39" s="10" t="s">
        <v>110</v>
      </c>
      <c r="Q39" s="10" t="s">
        <v>96</v>
      </c>
      <c r="R39" s="10">
        <v>48</v>
      </c>
      <c r="S39" s="10">
        <v>4.5</v>
      </c>
      <c r="T39" s="10">
        <v>4.5</v>
      </c>
      <c r="U39" s="10"/>
      <c r="V39" s="10" t="s">
        <v>93</v>
      </c>
      <c r="W39" s="14">
        <v>0.9</v>
      </c>
      <c r="X39" s="10">
        <v>20</v>
      </c>
      <c r="Y39" s="10" t="s">
        <v>105</v>
      </c>
      <c r="Z39" s="10" t="s">
        <v>93</v>
      </c>
      <c r="AA39" s="10" t="s">
        <v>93</v>
      </c>
      <c r="AB39" s="10" t="s">
        <v>93</v>
      </c>
      <c r="AC39" s="10" t="s">
        <v>93</v>
      </c>
      <c r="AD39" s="15" t="s">
        <v>97</v>
      </c>
      <c r="AE39" s="8" t="s">
        <v>115</v>
      </c>
      <c r="AF39" s="8" t="s">
        <v>93</v>
      </c>
      <c r="AG39" s="10" t="s">
        <v>98</v>
      </c>
      <c r="AH39" s="9"/>
      <c r="AI39" s="9"/>
      <c r="AJ39" s="10">
        <v>4339</v>
      </c>
      <c r="AK39" s="29">
        <f t="shared" si="50"/>
        <v>0.45</v>
      </c>
      <c r="AL39" s="18" t="b">
        <f t="shared" si="51"/>
        <v>1</v>
      </c>
      <c r="AM39" s="10"/>
      <c r="AN39" s="10"/>
      <c r="AO39" s="18" t="e">
        <f t="shared" si="52"/>
        <v>#DIV/0!</v>
      </c>
      <c r="AP39" s="18" t="e">
        <f t="shared" si="53"/>
        <v>#DIV/0!</v>
      </c>
      <c r="AQ39" s="23" t="b">
        <f t="shared" si="54"/>
        <v>1</v>
      </c>
      <c r="AR39" s="18" t="b">
        <f t="shared" si="55"/>
        <v>0</v>
      </c>
      <c r="AS39" s="10" t="s">
        <v>41</v>
      </c>
      <c r="AT39" s="19" t="b">
        <f t="shared" si="56"/>
        <v>0</v>
      </c>
      <c r="AU39" s="18" t="b">
        <f t="shared" si="57"/>
        <v>1</v>
      </c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</row>
    <row r="40" spans="1:84" s="2" customFormat="1" x14ac:dyDescent="0.25">
      <c r="A40" s="10">
        <v>34</v>
      </c>
      <c r="B40" s="18" t="s">
        <v>129</v>
      </c>
      <c r="C40" s="19" t="s">
        <v>162</v>
      </c>
      <c r="D40" s="10">
        <v>5.4</v>
      </c>
      <c r="E40" s="10"/>
      <c r="F40" s="18" t="s">
        <v>127</v>
      </c>
      <c r="G40" s="13">
        <v>42551</v>
      </c>
      <c r="H40" s="18" t="s">
        <v>127</v>
      </c>
      <c r="I40" s="18" t="s">
        <v>127</v>
      </c>
      <c r="J40" s="10" t="s">
        <v>92</v>
      </c>
      <c r="K40" s="10"/>
      <c r="L40" s="10">
        <v>0</v>
      </c>
      <c r="M40" s="10">
        <v>10</v>
      </c>
      <c r="N40" s="10" t="s">
        <v>97</v>
      </c>
      <c r="O40" s="10" t="s">
        <v>94</v>
      </c>
      <c r="P40" s="10" t="s">
        <v>107</v>
      </c>
      <c r="Q40" s="10" t="s">
        <v>96</v>
      </c>
      <c r="R40" s="10">
        <v>35</v>
      </c>
      <c r="S40" s="10">
        <v>10</v>
      </c>
      <c r="T40" s="10">
        <v>4</v>
      </c>
      <c r="U40" s="10"/>
      <c r="V40" s="10" t="s">
        <v>93</v>
      </c>
      <c r="W40" s="14">
        <v>0</v>
      </c>
      <c r="X40" s="10">
        <v>16</v>
      </c>
      <c r="Y40" s="10" t="s">
        <v>98</v>
      </c>
      <c r="Z40" s="10" t="s">
        <v>93</v>
      </c>
      <c r="AA40" s="10" t="s">
        <v>93</v>
      </c>
      <c r="AB40" s="10" t="s">
        <v>93</v>
      </c>
      <c r="AC40" s="10" t="s">
        <v>93</v>
      </c>
      <c r="AD40" s="15" t="s">
        <v>93</v>
      </c>
      <c r="AE40" s="8" t="s">
        <v>103</v>
      </c>
      <c r="AF40" s="10" t="s">
        <v>93</v>
      </c>
      <c r="AG40" s="10" t="s">
        <v>100</v>
      </c>
      <c r="AH40" s="9"/>
      <c r="AI40" s="9"/>
      <c r="AJ40" s="10">
        <v>2703</v>
      </c>
      <c r="AK40" s="29">
        <f t="shared" si="50"/>
        <v>0.625</v>
      </c>
      <c r="AL40" s="18" t="b">
        <f t="shared" si="51"/>
        <v>1</v>
      </c>
      <c r="AM40" s="10"/>
      <c r="AN40" s="10"/>
      <c r="AO40" s="18" t="e">
        <f t="shared" si="52"/>
        <v>#DIV/0!</v>
      </c>
      <c r="AP40" s="18" t="e">
        <f t="shared" si="53"/>
        <v>#DIV/0!</v>
      </c>
      <c r="AQ40" s="23" t="b">
        <f t="shared" si="54"/>
        <v>1</v>
      </c>
      <c r="AR40" s="18" t="b">
        <f t="shared" si="55"/>
        <v>0</v>
      </c>
      <c r="AS40" s="10" t="s">
        <v>42</v>
      </c>
      <c r="AT40" s="19" t="b">
        <f t="shared" si="56"/>
        <v>0</v>
      </c>
      <c r="AU40" s="18" t="b">
        <f t="shared" si="57"/>
        <v>1</v>
      </c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</row>
    <row r="41" spans="1:84" s="2" customFormat="1" x14ac:dyDescent="0.25">
      <c r="A41" s="10">
        <v>35</v>
      </c>
      <c r="B41" s="18" t="s">
        <v>129</v>
      </c>
      <c r="C41" s="19" t="s">
        <v>163</v>
      </c>
      <c r="D41" s="10">
        <v>5.62</v>
      </c>
      <c r="E41" s="10">
        <v>1</v>
      </c>
      <c r="F41" s="18" t="s">
        <v>127</v>
      </c>
      <c r="G41" s="13">
        <v>42571</v>
      </c>
      <c r="H41" s="18" t="s">
        <v>127</v>
      </c>
      <c r="I41" s="18" t="s">
        <v>127</v>
      </c>
      <c r="J41" s="10" t="s">
        <v>92</v>
      </c>
      <c r="K41" s="10">
        <v>2</v>
      </c>
      <c r="L41" s="10">
        <v>0</v>
      </c>
      <c r="M41" s="10">
        <v>9</v>
      </c>
      <c r="N41" s="10" t="s">
        <v>97</v>
      </c>
      <c r="O41" s="10" t="s">
        <v>94</v>
      </c>
      <c r="P41" s="10" t="s">
        <v>110</v>
      </c>
      <c r="Q41" s="10" t="s">
        <v>111</v>
      </c>
      <c r="R41" s="10">
        <v>30</v>
      </c>
      <c r="S41" s="10">
        <v>4.5</v>
      </c>
      <c r="T41" s="10">
        <v>4.5</v>
      </c>
      <c r="U41" s="10"/>
      <c r="V41" s="10" t="s">
        <v>93</v>
      </c>
      <c r="W41" s="14">
        <v>0</v>
      </c>
      <c r="X41" s="10">
        <v>6</v>
      </c>
      <c r="Y41" s="10" t="s">
        <v>98</v>
      </c>
      <c r="Z41" s="10" t="s">
        <v>93</v>
      </c>
      <c r="AA41" s="10" t="s">
        <v>93</v>
      </c>
      <c r="AB41" s="10" t="s">
        <v>93</v>
      </c>
      <c r="AC41" s="10" t="s">
        <v>93</v>
      </c>
      <c r="AD41" s="15" t="s">
        <v>93</v>
      </c>
      <c r="AE41" s="8" t="s">
        <v>103</v>
      </c>
      <c r="AF41" s="10" t="s">
        <v>93</v>
      </c>
      <c r="AG41" s="10" t="s">
        <v>100</v>
      </c>
      <c r="AH41" s="9"/>
      <c r="AI41" s="9"/>
      <c r="AJ41" s="10">
        <v>1545</v>
      </c>
      <c r="AK41" s="29">
        <f t="shared" si="50"/>
        <v>1.5</v>
      </c>
      <c r="AL41" s="18" t="b">
        <f t="shared" si="51"/>
        <v>0</v>
      </c>
      <c r="AM41" s="10"/>
      <c r="AN41" s="10"/>
      <c r="AO41" s="18" t="e">
        <f t="shared" si="52"/>
        <v>#DIV/0!</v>
      </c>
      <c r="AP41" s="18" t="e">
        <f t="shared" si="53"/>
        <v>#DIV/0!</v>
      </c>
      <c r="AQ41" s="23" t="b">
        <f t="shared" si="54"/>
        <v>1</v>
      </c>
      <c r="AR41" s="18" t="b">
        <f t="shared" si="55"/>
        <v>0</v>
      </c>
      <c r="AS41" s="10" t="s">
        <v>40</v>
      </c>
      <c r="AT41" s="19" t="b">
        <f t="shared" si="56"/>
        <v>0</v>
      </c>
      <c r="AU41" s="18" t="b">
        <f t="shared" si="57"/>
        <v>1</v>
      </c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</row>
    <row r="42" spans="1:84" s="2" customFormat="1" x14ac:dyDescent="0.25">
      <c r="A42" s="10">
        <v>36</v>
      </c>
      <c r="B42" s="18" t="s">
        <v>129</v>
      </c>
      <c r="C42" s="19" t="s">
        <v>164</v>
      </c>
      <c r="D42" s="10">
        <v>5.62</v>
      </c>
      <c r="E42" s="10">
        <v>2</v>
      </c>
      <c r="F42" s="18" t="s">
        <v>127</v>
      </c>
      <c r="G42" s="13">
        <v>42571</v>
      </c>
      <c r="H42" s="18" t="s">
        <v>127</v>
      </c>
      <c r="I42" s="18" t="s">
        <v>127</v>
      </c>
      <c r="J42" s="10" t="s">
        <v>92</v>
      </c>
      <c r="K42" s="10">
        <v>2</v>
      </c>
      <c r="L42" s="10">
        <v>0</v>
      </c>
      <c r="M42" s="10">
        <v>9</v>
      </c>
      <c r="N42" s="10" t="s">
        <v>97</v>
      </c>
      <c r="O42" s="10" t="s">
        <v>104</v>
      </c>
      <c r="P42" s="10" t="s">
        <v>110</v>
      </c>
      <c r="Q42" s="10" t="s">
        <v>111</v>
      </c>
      <c r="R42" s="10">
        <v>30</v>
      </c>
      <c r="S42" s="10">
        <v>4.5</v>
      </c>
      <c r="T42" s="10">
        <v>4.5</v>
      </c>
      <c r="U42" s="10"/>
      <c r="V42" s="10" t="s">
        <v>93</v>
      </c>
      <c r="W42" s="14">
        <v>0</v>
      </c>
      <c r="X42" s="10">
        <v>6</v>
      </c>
      <c r="Y42" s="10" t="s">
        <v>98</v>
      </c>
      <c r="Z42" s="10" t="s">
        <v>93</v>
      </c>
      <c r="AA42" s="10" t="s">
        <v>93</v>
      </c>
      <c r="AB42" s="10" t="s">
        <v>93</v>
      </c>
      <c r="AC42" s="10" t="s">
        <v>93</v>
      </c>
      <c r="AD42" s="15" t="s">
        <v>93</v>
      </c>
      <c r="AE42" s="8" t="s">
        <v>103</v>
      </c>
      <c r="AF42" s="10" t="s">
        <v>93</v>
      </c>
      <c r="AG42" s="10" t="s">
        <v>100</v>
      </c>
      <c r="AH42" s="9"/>
      <c r="AI42" s="9"/>
      <c r="AJ42" s="10">
        <v>1545</v>
      </c>
      <c r="AK42" s="29">
        <f t="shared" si="50"/>
        <v>1.5</v>
      </c>
      <c r="AL42" s="18" t="b">
        <f t="shared" si="51"/>
        <v>0</v>
      </c>
      <c r="AM42" s="10"/>
      <c r="AN42" s="10"/>
      <c r="AO42" s="18" t="e">
        <f t="shared" si="52"/>
        <v>#DIV/0!</v>
      </c>
      <c r="AP42" s="18" t="e">
        <f t="shared" si="53"/>
        <v>#DIV/0!</v>
      </c>
      <c r="AQ42" s="23" t="b">
        <f t="shared" si="54"/>
        <v>1</v>
      </c>
      <c r="AR42" s="18" t="b">
        <f t="shared" si="55"/>
        <v>0</v>
      </c>
      <c r="AS42" s="10" t="s">
        <v>40</v>
      </c>
      <c r="AT42" s="19" t="b">
        <f t="shared" si="56"/>
        <v>0</v>
      </c>
      <c r="AU42" s="18" t="b">
        <f t="shared" si="57"/>
        <v>1</v>
      </c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</row>
    <row r="43" spans="1:84" s="2" customFormat="1" x14ac:dyDescent="0.25">
      <c r="A43" s="10">
        <v>38</v>
      </c>
      <c r="B43" s="18" t="s">
        <v>129</v>
      </c>
      <c r="C43" s="19" t="s">
        <v>166</v>
      </c>
      <c r="D43" s="10">
        <v>6.04</v>
      </c>
      <c r="E43" s="10"/>
      <c r="F43" s="18" t="s">
        <v>127</v>
      </c>
      <c r="G43" s="10"/>
      <c r="H43" s="18" t="s">
        <v>127</v>
      </c>
      <c r="I43" s="18" t="s">
        <v>127</v>
      </c>
      <c r="J43" s="10" t="s">
        <v>92</v>
      </c>
      <c r="K43" s="10">
        <v>1</v>
      </c>
      <c r="L43" s="10">
        <v>0</v>
      </c>
      <c r="M43" s="10">
        <v>6</v>
      </c>
      <c r="N43" s="10" t="s">
        <v>97</v>
      </c>
      <c r="O43" s="10" t="s">
        <v>94</v>
      </c>
      <c r="P43" s="10" t="s">
        <v>113</v>
      </c>
      <c r="Q43" s="10" t="s">
        <v>111</v>
      </c>
      <c r="R43" s="10">
        <v>30</v>
      </c>
      <c r="S43" s="10">
        <v>6</v>
      </c>
      <c r="T43" s="10">
        <v>4</v>
      </c>
      <c r="U43" s="10"/>
      <c r="V43" s="10" t="s">
        <v>93</v>
      </c>
      <c r="W43" s="14">
        <v>0</v>
      </c>
      <c r="X43" s="10">
        <v>8</v>
      </c>
      <c r="Y43" s="10" t="s">
        <v>105</v>
      </c>
      <c r="Z43" s="10" t="s">
        <v>93</v>
      </c>
      <c r="AA43" s="10" t="s">
        <v>93</v>
      </c>
      <c r="AB43" s="10" t="s">
        <v>93</v>
      </c>
      <c r="AC43" s="10" t="s">
        <v>93</v>
      </c>
      <c r="AD43" s="15" t="s">
        <v>97</v>
      </c>
      <c r="AE43" s="8" t="s">
        <v>109</v>
      </c>
      <c r="AF43" s="10" t="s">
        <v>93</v>
      </c>
      <c r="AG43" s="10" t="s">
        <v>105</v>
      </c>
      <c r="AH43" s="9"/>
      <c r="AI43" s="9"/>
      <c r="AJ43" s="10">
        <v>5144</v>
      </c>
      <c r="AK43" s="29">
        <f t="shared" ref="AK43" si="58">M43/X43</f>
        <v>0.75</v>
      </c>
      <c r="AL43" s="18" t="b">
        <f t="shared" ref="AL43" si="59">OR(AK43&gt;1.5,AK43&lt;0.8)</f>
        <v>1</v>
      </c>
      <c r="AM43" s="10"/>
      <c r="AN43" s="10"/>
      <c r="AO43" s="18" t="e">
        <f t="shared" ref="AO43" si="60">M43/AN43</f>
        <v>#DIV/0!</v>
      </c>
      <c r="AP43" s="18" t="e">
        <f t="shared" ref="AP43" si="61">OR(AO43&gt;1.5,AO43&lt;0.8)</f>
        <v>#DIV/0!</v>
      </c>
      <c r="AQ43" s="23" t="b">
        <f t="shared" ref="AQ43" si="62">OR(AK43&gt;1.5,AK43&lt;0.8,V43="N",L43&gt;0.01)</f>
        <v>1</v>
      </c>
      <c r="AR43" s="18" t="b">
        <f t="shared" ref="AR43" si="63">AND(J43="Span Bridge", AK43&gt;1)</f>
        <v>0</v>
      </c>
      <c r="AS43" s="17" t="s">
        <v>41</v>
      </c>
      <c r="AT43" s="19" t="b">
        <f t="shared" ref="AT43" si="64">AND(L43=0,AK43&gt;0.8,AK43&lt;1.5,V43="N",AD43="N")</f>
        <v>0</v>
      </c>
      <c r="AU43" s="18" t="b">
        <f t="shared" ref="AU43" si="65">AND(AQ43=TRUE,AR43=FALSE,AT43=FALSE)</f>
        <v>1</v>
      </c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</row>
    <row r="44" spans="1:84" s="2" customFormat="1" x14ac:dyDescent="0.25">
      <c r="A44" s="10">
        <v>40</v>
      </c>
      <c r="B44" s="18" t="s">
        <v>129</v>
      </c>
      <c r="C44" s="19" t="s">
        <v>168</v>
      </c>
      <c r="D44" s="10">
        <v>6.57</v>
      </c>
      <c r="E44" s="10"/>
      <c r="F44" s="18" t="s">
        <v>127</v>
      </c>
      <c r="G44" s="10"/>
      <c r="H44" s="18" t="s">
        <v>127</v>
      </c>
      <c r="I44" s="18" t="s">
        <v>127</v>
      </c>
      <c r="J44" s="10" t="s">
        <v>92</v>
      </c>
      <c r="K44" s="10">
        <v>1</v>
      </c>
      <c r="L44" s="10">
        <v>0</v>
      </c>
      <c r="M44" s="10">
        <v>4</v>
      </c>
      <c r="N44" s="10" t="s">
        <v>97</v>
      </c>
      <c r="O44" s="10" t="s">
        <v>94</v>
      </c>
      <c r="P44" s="10" t="s">
        <v>110</v>
      </c>
      <c r="Q44" s="10" t="s">
        <v>111</v>
      </c>
      <c r="R44" s="10">
        <v>71</v>
      </c>
      <c r="S44" s="10">
        <v>4</v>
      </c>
      <c r="T44" s="10">
        <v>4</v>
      </c>
      <c r="U44" s="10"/>
      <c r="V44" s="10" t="s">
        <v>97</v>
      </c>
      <c r="W44" s="14">
        <v>0</v>
      </c>
      <c r="X44" s="10">
        <v>6</v>
      </c>
      <c r="Y44" s="10" t="s">
        <v>100</v>
      </c>
      <c r="Z44" s="10" t="s">
        <v>93</v>
      </c>
      <c r="AA44" s="10" t="s">
        <v>97</v>
      </c>
      <c r="AB44" s="10" t="s">
        <v>93</v>
      </c>
      <c r="AC44" s="10" t="s">
        <v>93</v>
      </c>
      <c r="AD44" s="15" t="s">
        <v>93</v>
      </c>
      <c r="AE44" s="8" t="s">
        <v>103</v>
      </c>
      <c r="AF44" s="10" t="s">
        <v>93</v>
      </c>
      <c r="AG44" s="10" t="s">
        <v>100</v>
      </c>
      <c r="AH44" s="9"/>
      <c r="AI44" s="9"/>
      <c r="AJ44" s="10">
        <v>2501</v>
      </c>
      <c r="AK44" s="29">
        <f t="shared" ref="AK44:AK53" si="66">M44/X44</f>
        <v>0.66666666666666663</v>
      </c>
      <c r="AL44" s="18" t="b">
        <f t="shared" ref="AL44:AL53" si="67">OR(AK44&gt;1.5,AK44&lt;0.8)</f>
        <v>1</v>
      </c>
      <c r="AM44" s="10"/>
      <c r="AN44" s="10"/>
      <c r="AO44" s="18" t="e">
        <f t="shared" ref="AO44:AO53" si="68">M44/AN44</f>
        <v>#DIV/0!</v>
      </c>
      <c r="AP44" s="18" t="e">
        <f t="shared" ref="AP44:AP53" si="69">OR(AO44&gt;1.5,AO44&lt;0.8)</f>
        <v>#DIV/0!</v>
      </c>
      <c r="AQ44" s="23" t="b">
        <f t="shared" ref="AQ44:AQ53" si="70">OR(AK44&gt;1.5,AK44&lt;0.8,V44="N",L44&gt;0.01)</f>
        <v>1</v>
      </c>
      <c r="AR44" s="18" t="b">
        <f t="shared" ref="AR44:AR53" si="71">AND(J44="Span Bridge", AK44&gt;1)</f>
        <v>0</v>
      </c>
      <c r="AS44" s="17" t="s">
        <v>41</v>
      </c>
      <c r="AT44" s="19" t="b">
        <f t="shared" ref="AT44:AT53" si="72">AND(L44=0,AK44&gt;0.8,AK44&lt;1.5,V44="N",AD44="N")</f>
        <v>0</v>
      </c>
      <c r="AU44" s="18" t="b">
        <f t="shared" ref="AU44:AU53" si="73">AND(AQ44=TRUE,AR44=FALSE,AT44=FALSE)</f>
        <v>1</v>
      </c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</row>
    <row r="45" spans="1:84" s="2" customFormat="1" x14ac:dyDescent="0.25">
      <c r="A45" s="10">
        <v>41</v>
      </c>
      <c r="B45" s="18" t="s">
        <v>129</v>
      </c>
      <c r="C45" s="19" t="s">
        <v>169</v>
      </c>
      <c r="D45" s="10">
        <v>6.69</v>
      </c>
      <c r="E45" s="10"/>
      <c r="F45" s="18" t="s">
        <v>127</v>
      </c>
      <c r="G45" s="10"/>
      <c r="H45" s="18" t="s">
        <v>127</v>
      </c>
      <c r="I45" s="18" t="s">
        <v>127</v>
      </c>
      <c r="J45" s="10" t="s">
        <v>92</v>
      </c>
      <c r="K45" s="10">
        <v>1</v>
      </c>
      <c r="L45" s="10">
        <v>0</v>
      </c>
      <c r="M45" s="10">
        <v>3</v>
      </c>
      <c r="N45" s="10" t="s">
        <v>97</v>
      </c>
      <c r="O45" s="10" t="s">
        <v>94</v>
      </c>
      <c r="P45" s="10" t="s">
        <v>110</v>
      </c>
      <c r="Q45" s="10" t="s">
        <v>111</v>
      </c>
      <c r="R45" s="10">
        <v>26</v>
      </c>
      <c r="S45" s="10">
        <v>3</v>
      </c>
      <c r="T45" s="10">
        <v>3</v>
      </c>
      <c r="U45" s="10"/>
      <c r="V45" s="10" t="s">
        <v>93</v>
      </c>
      <c r="W45" s="14">
        <v>0</v>
      </c>
      <c r="X45" s="10">
        <v>5</v>
      </c>
      <c r="Y45" s="10" t="s">
        <v>100</v>
      </c>
      <c r="Z45" s="10" t="s">
        <v>93</v>
      </c>
      <c r="AA45" s="10" t="s">
        <v>93</v>
      </c>
      <c r="AB45" s="10" t="s">
        <v>93</v>
      </c>
      <c r="AC45" s="10" t="s">
        <v>93</v>
      </c>
      <c r="AD45" s="15" t="s">
        <v>93</v>
      </c>
      <c r="AE45" s="8" t="s">
        <v>103</v>
      </c>
      <c r="AF45" s="10" t="s">
        <v>93</v>
      </c>
      <c r="AG45" s="10" t="s">
        <v>100</v>
      </c>
      <c r="AH45" s="9"/>
      <c r="AI45" s="9"/>
      <c r="AJ45" s="10">
        <v>1925</v>
      </c>
      <c r="AK45" s="29">
        <f t="shared" si="66"/>
        <v>0.6</v>
      </c>
      <c r="AL45" s="18" t="b">
        <f t="shared" si="67"/>
        <v>1</v>
      </c>
      <c r="AM45" s="10"/>
      <c r="AN45" s="10"/>
      <c r="AO45" s="18" t="e">
        <f t="shared" si="68"/>
        <v>#DIV/0!</v>
      </c>
      <c r="AP45" s="18" t="e">
        <f t="shared" si="69"/>
        <v>#DIV/0!</v>
      </c>
      <c r="AQ45" s="23" t="b">
        <f t="shared" si="70"/>
        <v>1</v>
      </c>
      <c r="AR45" s="18" t="b">
        <f t="shared" si="71"/>
        <v>0</v>
      </c>
      <c r="AS45" s="17" t="s">
        <v>41</v>
      </c>
      <c r="AT45" s="19" t="b">
        <f t="shared" si="72"/>
        <v>0</v>
      </c>
      <c r="AU45" s="18" t="b">
        <f t="shared" si="73"/>
        <v>1</v>
      </c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</row>
    <row r="46" spans="1:84" s="2" customFormat="1" x14ac:dyDescent="0.25">
      <c r="A46" s="10">
        <v>42</v>
      </c>
      <c r="B46" s="18" t="s">
        <v>129</v>
      </c>
      <c r="C46" s="19" t="s">
        <v>170</v>
      </c>
      <c r="D46" s="10">
        <v>6.7600000000000007</v>
      </c>
      <c r="E46" s="10"/>
      <c r="F46" s="18" t="s">
        <v>127</v>
      </c>
      <c r="G46" s="10"/>
      <c r="H46" s="18" t="s">
        <v>127</v>
      </c>
      <c r="I46" s="18" t="s">
        <v>127</v>
      </c>
      <c r="J46" s="10" t="s">
        <v>92</v>
      </c>
      <c r="K46" s="10">
        <v>1</v>
      </c>
      <c r="L46" s="10">
        <v>0</v>
      </c>
      <c r="M46" s="10">
        <v>4</v>
      </c>
      <c r="N46" s="10" t="s">
        <v>97</v>
      </c>
      <c r="O46" s="10" t="s">
        <v>94</v>
      </c>
      <c r="P46" s="10" t="s">
        <v>110</v>
      </c>
      <c r="Q46" s="10" t="s">
        <v>111</v>
      </c>
      <c r="R46" s="10">
        <v>38</v>
      </c>
      <c r="S46" s="10">
        <v>4</v>
      </c>
      <c r="T46" s="10">
        <v>4</v>
      </c>
      <c r="U46" s="10"/>
      <c r="V46" s="10" t="s">
        <v>97</v>
      </c>
      <c r="W46" s="14">
        <v>0.3</v>
      </c>
      <c r="X46" s="10">
        <v>6</v>
      </c>
      <c r="Y46" s="10" t="s">
        <v>100</v>
      </c>
      <c r="Z46" s="10" t="s">
        <v>93</v>
      </c>
      <c r="AA46" s="10" t="s">
        <v>93</v>
      </c>
      <c r="AB46" s="10" t="s">
        <v>93</v>
      </c>
      <c r="AC46" s="10" t="s">
        <v>93</v>
      </c>
      <c r="AD46" s="15" t="s">
        <v>93</v>
      </c>
      <c r="AE46" s="8" t="s">
        <v>103</v>
      </c>
      <c r="AF46" s="10" t="s">
        <v>93</v>
      </c>
      <c r="AG46" s="10" t="s">
        <v>100</v>
      </c>
      <c r="AH46" s="9"/>
      <c r="AI46" s="9"/>
      <c r="AJ46" s="10">
        <v>1600</v>
      </c>
      <c r="AK46" s="29">
        <f t="shared" si="66"/>
        <v>0.66666666666666663</v>
      </c>
      <c r="AL46" s="18" t="b">
        <f t="shared" si="67"/>
        <v>1</v>
      </c>
      <c r="AM46" s="10"/>
      <c r="AN46" s="10"/>
      <c r="AO46" s="18" t="e">
        <f t="shared" si="68"/>
        <v>#DIV/0!</v>
      </c>
      <c r="AP46" s="18" t="e">
        <f t="shared" si="69"/>
        <v>#DIV/0!</v>
      </c>
      <c r="AQ46" s="23" t="b">
        <f t="shared" si="70"/>
        <v>1</v>
      </c>
      <c r="AR46" s="18" t="b">
        <f t="shared" si="71"/>
        <v>0</v>
      </c>
      <c r="AS46" s="17" t="s">
        <v>41</v>
      </c>
      <c r="AT46" s="19" t="b">
        <f t="shared" si="72"/>
        <v>0</v>
      </c>
      <c r="AU46" s="18" t="b">
        <f t="shared" si="73"/>
        <v>1</v>
      </c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</row>
    <row r="47" spans="1:84" s="2" customFormat="1" x14ac:dyDescent="0.25">
      <c r="A47" s="10">
        <v>43</v>
      </c>
      <c r="B47" s="18" t="s">
        <v>129</v>
      </c>
      <c r="C47" s="19" t="s">
        <v>171</v>
      </c>
      <c r="D47" s="10">
        <v>0.03</v>
      </c>
      <c r="E47" s="10"/>
      <c r="F47" s="18" t="s">
        <v>127</v>
      </c>
      <c r="G47" s="13">
        <v>42550</v>
      </c>
      <c r="H47" s="18" t="s">
        <v>127</v>
      </c>
      <c r="I47" s="18" t="s">
        <v>127</v>
      </c>
      <c r="J47" s="10" t="s">
        <v>92</v>
      </c>
      <c r="K47" s="10"/>
      <c r="L47" s="10">
        <v>0</v>
      </c>
      <c r="M47" s="10">
        <v>6.25</v>
      </c>
      <c r="N47" s="10" t="s">
        <v>97</v>
      </c>
      <c r="O47" s="10" t="s">
        <v>94</v>
      </c>
      <c r="P47" s="10" t="s">
        <v>113</v>
      </c>
      <c r="Q47" s="10" t="s">
        <v>96</v>
      </c>
      <c r="R47" s="10">
        <v>211</v>
      </c>
      <c r="S47" s="10">
        <v>6.25</v>
      </c>
      <c r="T47" s="10">
        <v>4</v>
      </c>
      <c r="U47" s="10"/>
      <c r="V47" s="10" t="s">
        <v>93</v>
      </c>
      <c r="W47" s="14">
        <v>0</v>
      </c>
      <c r="X47" s="10">
        <v>10</v>
      </c>
      <c r="Y47" s="10" t="s">
        <v>105</v>
      </c>
      <c r="Z47" s="10" t="s">
        <v>97</v>
      </c>
      <c r="AA47" s="10" t="s">
        <v>93</v>
      </c>
      <c r="AB47" s="10" t="s">
        <v>93</v>
      </c>
      <c r="AC47" s="10" t="s">
        <v>93</v>
      </c>
      <c r="AD47" s="15" t="s">
        <v>97</v>
      </c>
      <c r="AE47" s="8" t="s">
        <v>116</v>
      </c>
      <c r="AF47" s="10" t="s">
        <v>93</v>
      </c>
      <c r="AG47" s="10" t="s">
        <v>105</v>
      </c>
      <c r="AH47" s="9"/>
      <c r="AI47" s="9"/>
      <c r="AJ47" s="10">
        <v>450</v>
      </c>
      <c r="AK47" s="29">
        <f t="shared" si="66"/>
        <v>0.625</v>
      </c>
      <c r="AL47" s="18" t="b">
        <f t="shared" si="67"/>
        <v>1</v>
      </c>
      <c r="AM47" s="10"/>
      <c r="AN47" s="10"/>
      <c r="AO47" s="18" t="e">
        <f t="shared" si="68"/>
        <v>#DIV/0!</v>
      </c>
      <c r="AP47" s="18" t="e">
        <f t="shared" si="69"/>
        <v>#DIV/0!</v>
      </c>
      <c r="AQ47" s="23" t="b">
        <f t="shared" si="70"/>
        <v>1</v>
      </c>
      <c r="AR47" s="18" t="b">
        <f t="shared" si="71"/>
        <v>0</v>
      </c>
      <c r="AS47" s="8" t="s">
        <v>42</v>
      </c>
      <c r="AT47" s="19" t="b">
        <f t="shared" si="72"/>
        <v>0</v>
      </c>
      <c r="AU47" s="18" t="b">
        <f t="shared" si="73"/>
        <v>1</v>
      </c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</row>
    <row r="48" spans="1:84" s="2" customFormat="1" x14ac:dyDescent="0.25">
      <c r="A48" s="10">
        <v>44</v>
      </c>
      <c r="B48" s="18" t="s">
        <v>129</v>
      </c>
      <c r="C48" s="19" t="s">
        <v>172</v>
      </c>
      <c r="D48" s="10">
        <v>7.0000000000000007E-2</v>
      </c>
      <c r="E48" s="10"/>
      <c r="F48" s="18" t="s">
        <v>127</v>
      </c>
      <c r="G48" s="13">
        <v>42550</v>
      </c>
      <c r="H48" s="18" t="s">
        <v>127</v>
      </c>
      <c r="I48" s="18" t="s">
        <v>127</v>
      </c>
      <c r="J48" s="10" t="s">
        <v>92</v>
      </c>
      <c r="K48" s="10"/>
      <c r="L48" s="10">
        <v>0</v>
      </c>
      <c r="M48" s="10">
        <v>6.25</v>
      </c>
      <c r="N48" s="10" t="s">
        <v>97</v>
      </c>
      <c r="O48" s="10" t="s">
        <v>94</v>
      </c>
      <c r="P48" s="10" t="s">
        <v>107</v>
      </c>
      <c r="Q48" s="10" t="s">
        <v>96</v>
      </c>
      <c r="R48" s="10">
        <v>12</v>
      </c>
      <c r="S48" s="10">
        <v>6.25</v>
      </c>
      <c r="T48" s="10">
        <v>3</v>
      </c>
      <c r="U48" s="10"/>
      <c r="V48" s="10" t="s">
        <v>97</v>
      </c>
      <c r="W48" s="14">
        <v>0</v>
      </c>
      <c r="X48" s="10">
        <v>10</v>
      </c>
      <c r="Y48" s="10" t="s">
        <v>105</v>
      </c>
      <c r="Z48" s="10" t="s">
        <v>93</v>
      </c>
      <c r="AA48" s="10" t="s">
        <v>93</v>
      </c>
      <c r="AB48" s="10" t="s">
        <v>93</v>
      </c>
      <c r="AC48" s="10" t="s">
        <v>93</v>
      </c>
      <c r="AD48" s="15" t="s">
        <v>93</v>
      </c>
      <c r="AE48" s="8" t="s">
        <v>103</v>
      </c>
      <c r="AF48" s="10" t="s">
        <v>93</v>
      </c>
      <c r="AG48" s="10" t="s">
        <v>105</v>
      </c>
      <c r="AH48" s="9"/>
      <c r="AI48" s="9"/>
      <c r="AJ48" s="10">
        <v>250</v>
      </c>
      <c r="AK48" s="29">
        <f t="shared" si="66"/>
        <v>0.625</v>
      </c>
      <c r="AL48" s="18" t="b">
        <f t="shared" si="67"/>
        <v>1</v>
      </c>
      <c r="AM48" s="10"/>
      <c r="AN48" s="10"/>
      <c r="AO48" s="18" t="e">
        <f t="shared" si="68"/>
        <v>#DIV/0!</v>
      </c>
      <c r="AP48" s="18" t="e">
        <f t="shared" si="69"/>
        <v>#DIV/0!</v>
      </c>
      <c r="AQ48" s="23" t="b">
        <f t="shared" si="70"/>
        <v>1</v>
      </c>
      <c r="AR48" s="18" t="b">
        <f t="shared" si="71"/>
        <v>0</v>
      </c>
      <c r="AS48" s="8" t="s">
        <v>42</v>
      </c>
      <c r="AT48" s="19" t="b">
        <f t="shared" si="72"/>
        <v>0</v>
      </c>
      <c r="AU48" s="18" t="b">
        <f t="shared" si="73"/>
        <v>1</v>
      </c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</row>
    <row r="49" spans="1:84" s="2" customFormat="1" x14ac:dyDescent="0.25">
      <c r="A49" s="10">
        <v>45</v>
      </c>
      <c r="B49" s="18" t="s">
        <v>129</v>
      </c>
      <c r="C49" s="19" t="s">
        <v>173</v>
      </c>
      <c r="D49" s="10">
        <v>0.08</v>
      </c>
      <c r="E49" s="10"/>
      <c r="F49" s="18" t="s">
        <v>127</v>
      </c>
      <c r="G49" s="13">
        <v>42550</v>
      </c>
      <c r="H49" s="18" t="s">
        <v>127</v>
      </c>
      <c r="I49" s="18" t="s">
        <v>127</v>
      </c>
      <c r="J49" s="10" t="s">
        <v>101</v>
      </c>
      <c r="K49" s="10"/>
      <c r="L49" s="10">
        <v>0</v>
      </c>
      <c r="M49" s="10">
        <v>5</v>
      </c>
      <c r="N49" s="10" t="s">
        <v>97</v>
      </c>
      <c r="O49" s="10" t="s">
        <v>94</v>
      </c>
      <c r="P49" s="10" t="s">
        <v>102</v>
      </c>
      <c r="Q49" s="10" t="s">
        <v>96</v>
      </c>
      <c r="R49" s="10">
        <v>14.5</v>
      </c>
      <c r="S49" s="10">
        <v>5</v>
      </c>
      <c r="T49" s="10">
        <v>2.5</v>
      </c>
      <c r="U49" s="10"/>
      <c r="V49" s="10" t="s">
        <v>97</v>
      </c>
      <c r="W49" s="14">
        <v>0</v>
      </c>
      <c r="X49" s="10">
        <v>10</v>
      </c>
      <c r="Y49" s="10" t="s">
        <v>105</v>
      </c>
      <c r="Z49" s="10" t="s">
        <v>93</v>
      </c>
      <c r="AA49" s="10" t="s">
        <v>93</v>
      </c>
      <c r="AB49" s="10" t="s">
        <v>97</v>
      </c>
      <c r="AC49" s="10" t="s">
        <v>93</v>
      </c>
      <c r="AD49" s="15" t="s">
        <v>93</v>
      </c>
      <c r="AE49" s="8" t="s">
        <v>103</v>
      </c>
      <c r="AF49" s="10" t="s">
        <v>93</v>
      </c>
      <c r="AG49" s="10" t="s">
        <v>105</v>
      </c>
      <c r="AH49" s="9"/>
      <c r="AI49" s="9"/>
      <c r="AJ49" s="10">
        <v>188</v>
      </c>
      <c r="AK49" s="29">
        <f t="shared" si="66"/>
        <v>0.5</v>
      </c>
      <c r="AL49" s="18" t="b">
        <f t="shared" si="67"/>
        <v>1</v>
      </c>
      <c r="AM49" s="10"/>
      <c r="AN49" s="10"/>
      <c r="AO49" s="18" t="e">
        <f t="shared" si="68"/>
        <v>#DIV/0!</v>
      </c>
      <c r="AP49" s="18" t="e">
        <f t="shared" si="69"/>
        <v>#DIV/0!</v>
      </c>
      <c r="AQ49" s="23" t="b">
        <f t="shared" si="70"/>
        <v>1</v>
      </c>
      <c r="AR49" s="18" t="b">
        <f t="shared" si="71"/>
        <v>0</v>
      </c>
      <c r="AS49" s="8" t="s">
        <v>42</v>
      </c>
      <c r="AT49" s="19" t="b">
        <f t="shared" si="72"/>
        <v>0</v>
      </c>
      <c r="AU49" s="18" t="b">
        <f t="shared" si="73"/>
        <v>1</v>
      </c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</row>
    <row r="50" spans="1:84" s="2" customFormat="1" x14ac:dyDescent="0.25">
      <c r="A50" s="10">
        <v>46</v>
      </c>
      <c r="B50" s="18" t="s">
        <v>129</v>
      </c>
      <c r="C50" s="19" t="s">
        <v>174</v>
      </c>
      <c r="D50" s="10">
        <v>0.12</v>
      </c>
      <c r="E50" s="10"/>
      <c r="F50" s="18" t="s">
        <v>127</v>
      </c>
      <c r="G50" s="13">
        <v>42550</v>
      </c>
      <c r="H50" s="18" t="s">
        <v>127</v>
      </c>
      <c r="I50" s="18" t="s">
        <v>127</v>
      </c>
      <c r="J50" s="10" t="s">
        <v>92</v>
      </c>
      <c r="K50" s="10"/>
      <c r="L50" s="10">
        <v>0</v>
      </c>
      <c r="M50" s="10">
        <v>4</v>
      </c>
      <c r="N50" s="10" t="s">
        <v>93</v>
      </c>
      <c r="O50" s="10" t="s">
        <v>94</v>
      </c>
      <c r="P50" s="10" t="s">
        <v>110</v>
      </c>
      <c r="Q50" s="10" t="s">
        <v>96</v>
      </c>
      <c r="R50" s="10">
        <v>68</v>
      </c>
      <c r="S50" s="10">
        <v>4</v>
      </c>
      <c r="T50" s="10">
        <v>4</v>
      </c>
      <c r="U50" s="10"/>
      <c r="V50" s="10" t="s">
        <v>93</v>
      </c>
      <c r="W50" s="14">
        <v>0</v>
      </c>
      <c r="X50" s="10">
        <v>10</v>
      </c>
      <c r="Y50" s="10" t="s">
        <v>105</v>
      </c>
      <c r="Z50" s="10" t="s">
        <v>97</v>
      </c>
      <c r="AA50" s="10" t="s">
        <v>97</v>
      </c>
      <c r="AB50" s="10" t="s">
        <v>93</v>
      </c>
      <c r="AC50" s="10" t="s">
        <v>97</v>
      </c>
      <c r="AD50" s="15" t="s">
        <v>97</v>
      </c>
      <c r="AE50" s="8" t="s">
        <v>117</v>
      </c>
      <c r="AF50" s="10" t="s">
        <v>97</v>
      </c>
      <c r="AG50" s="10" t="s">
        <v>98</v>
      </c>
      <c r="AH50" s="9"/>
      <c r="AI50" s="9"/>
      <c r="AJ50" s="10">
        <v>938</v>
      </c>
      <c r="AK50" s="29">
        <f t="shared" si="66"/>
        <v>0.4</v>
      </c>
      <c r="AL50" s="18" t="b">
        <f t="shared" si="67"/>
        <v>1</v>
      </c>
      <c r="AM50" s="10"/>
      <c r="AN50" s="10"/>
      <c r="AO50" s="18" t="e">
        <f t="shared" si="68"/>
        <v>#DIV/0!</v>
      </c>
      <c r="AP50" s="18" t="e">
        <f t="shared" si="69"/>
        <v>#DIV/0!</v>
      </c>
      <c r="AQ50" s="23" t="b">
        <f t="shared" si="70"/>
        <v>1</v>
      </c>
      <c r="AR50" s="18" t="b">
        <f t="shared" si="71"/>
        <v>0</v>
      </c>
      <c r="AS50" s="10" t="s">
        <v>41</v>
      </c>
      <c r="AT50" s="19" t="b">
        <f t="shared" si="72"/>
        <v>0</v>
      </c>
      <c r="AU50" s="18" t="b">
        <f t="shared" si="73"/>
        <v>1</v>
      </c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</row>
    <row r="51" spans="1:84" s="2" customFormat="1" x14ac:dyDescent="0.25">
      <c r="A51" s="10">
        <v>47</v>
      </c>
      <c r="B51" s="18" t="s">
        <v>129</v>
      </c>
      <c r="C51" s="19" t="s">
        <v>175</v>
      </c>
      <c r="D51" s="10">
        <v>0.31</v>
      </c>
      <c r="E51" s="10"/>
      <c r="F51" s="18" t="s">
        <v>127</v>
      </c>
      <c r="G51" s="13">
        <v>42550</v>
      </c>
      <c r="H51" s="18" t="s">
        <v>127</v>
      </c>
      <c r="I51" s="18" t="s">
        <v>127</v>
      </c>
      <c r="J51" s="10" t="s">
        <v>92</v>
      </c>
      <c r="K51" s="10"/>
      <c r="L51" s="10">
        <v>0</v>
      </c>
      <c r="M51" s="10">
        <v>4</v>
      </c>
      <c r="N51" s="10" t="s">
        <v>97</v>
      </c>
      <c r="O51" s="10" t="s">
        <v>94</v>
      </c>
      <c r="P51" s="10" t="s">
        <v>110</v>
      </c>
      <c r="Q51" s="10" t="s">
        <v>96</v>
      </c>
      <c r="R51" s="10">
        <v>105</v>
      </c>
      <c r="S51" s="10">
        <v>4</v>
      </c>
      <c r="T51" s="10">
        <v>4</v>
      </c>
      <c r="U51" s="10"/>
      <c r="V51" s="10" t="s">
        <v>93</v>
      </c>
      <c r="W51" s="14">
        <v>0</v>
      </c>
      <c r="X51" s="10">
        <v>9</v>
      </c>
      <c r="Y51" s="10" t="s">
        <v>105</v>
      </c>
      <c r="Z51" s="10" t="s">
        <v>93</v>
      </c>
      <c r="AA51" s="10" t="s">
        <v>93</v>
      </c>
      <c r="AB51" s="10" t="s">
        <v>93</v>
      </c>
      <c r="AC51" s="10" t="s">
        <v>93</v>
      </c>
      <c r="AD51" s="15" t="s">
        <v>97</v>
      </c>
      <c r="AE51" s="8" t="s">
        <v>116</v>
      </c>
      <c r="AF51" s="10" t="s">
        <v>93</v>
      </c>
      <c r="AG51" s="10" t="s">
        <v>100</v>
      </c>
      <c r="AH51" s="9"/>
      <c r="AI51" s="9"/>
      <c r="AJ51" s="10">
        <v>11298</v>
      </c>
      <c r="AK51" s="29">
        <f t="shared" si="66"/>
        <v>0.44444444444444442</v>
      </c>
      <c r="AL51" s="18" t="b">
        <f t="shared" si="67"/>
        <v>1</v>
      </c>
      <c r="AM51" s="10"/>
      <c r="AN51" s="10"/>
      <c r="AO51" s="18" t="e">
        <f t="shared" si="68"/>
        <v>#DIV/0!</v>
      </c>
      <c r="AP51" s="18" t="e">
        <f t="shared" si="69"/>
        <v>#DIV/0!</v>
      </c>
      <c r="AQ51" s="23" t="b">
        <f t="shared" si="70"/>
        <v>1</v>
      </c>
      <c r="AR51" s="18" t="b">
        <f t="shared" si="71"/>
        <v>0</v>
      </c>
      <c r="AS51" s="10" t="s">
        <v>41</v>
      </c>
      <c r="AT51" s="19" t="b">
        <f t="shared" si="72"/>
        <v>0</v>
      </c>
      <c r="AU51" s="18" t="b">
        <f t="shared" si="73"/>
        <v>1</v>
      </c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</row>
    <row r="52" spans="1:84" s="2" customFormat="1" x14ac:dyDescent="0.25">
      <c r="A52" s="10">
        <v>48</v>
      </c>
      <c r="B52" s="18" t="s">
        <v>129</v>
      </c>
      <c r="C52" s="19" t="s">
        <v>176</v>
      </c>
      <c r="D52" s="10">
        <v>0.56000000000000005</v>
      </c>
      <c r="E52" s="10"/>
      <c r="F52" s="18" t="s">
        <v>127</v>
      </c>
      <c r="G52" s="13">
        <v>42550</v>
      </c>
      <c r="H52" s="18" t="s">
        <v>127</v>
      </c>
      <c r="I52" s="18" t="s">
        <v>127</v>
      </c>
      <c r="J52" s="10" t="s">
        <v>92</v>
      </c>
      <c r="K52" s="10"/>
      <c r="L52" s="10">
        <v>0</v>
      </c>
      <c r="M52" s="10">
        <v>5</v>
      </c>
      <c r="N52" s="10" t="s">
        <v>97</v>
      </c>
      <c r="O52" s="10" t="s">
        <v>94</v>
      </c>
      <c r="P52" s="10" t="s">
        <v>113</v>
      </c>
      <c r="Q52" s="10" t="s">
        <v>96</v>
      </c>
      <c r="R52" s="10">
        <v>106</v>
      </c>
      <c r="S52" s="10">
        <v>5</v>
      </c>
      <c r="T52" s="10">
        <v>4</v>
      </c>
      <c r="U52" s="10"/>
      <c r="V52" s="10" t="s">
        <v>97</v>
      </c>
      <c r="W52" s="14">
        <v>0</v>
      </c>
      <c r="X52" s="10">
        <v>12</v>
      </c>
      <c r="Y52" s="10" t="s">
        <v>98</v>
      </c>
      <c r="Z52" s="10" t="s">
        <v>93</v>
      </c>
      <c r="AA52" s="10" t="s">
        <v>97</v>
      </c>
      <c r="AB52" s="10" t="s">
        <v>93</v>
      </c>
      <c r="AC52" s="10" t="s">
        <v>93</v>
      </c>
      <c r="AD52" s="15" t="s">
        <v>93</v>
      </c>
      <c r="AE52" s="8" t="s">
        <v>103</v>
      </c>
      <c r="AF52" s="10" t="s">
        <v>93</v>
      </c>
      <c r="AG52" s="10" t="s">
        <v>100</v>
      </c>
      <c r="AH52" s="9"/>
      <c r="AI52" s="9"/>
      <c r="AJ52" s="10">
        <v>9977</v>
      </c>
      <c r="AK52" s="29">
        <f t="shared" si="66"/>
        <v>0.41666666666666669</v>
      </c>
      <c r="AL52" s="18" t="b">
        <f t="shared" si="67"/>
        <v>1</v>
      </c>
      <c r="AM52" s="10"/>
      <c r="AN52" s="10"/>
      <c r="AO52" s="18" t="e">
        <f t="shared" si="68"/>
        <v>#DIV/0!</v>
      </c>
      <c r="AP52" s="18" t="e">
        <f t="shared" si="69"/>
        <v>#DIV/0!</v>
      </c>
      <c r="AQ52" s="23" t="b">
        <f t="shared" si="70"/>
        <v>1</v>
      </c>
      <c r="AR52" s="18" t="b">
        <f t="shared" si="71"/>
        <v>0</v>
      </c>
      <c r="AS52" s="10" t="s">
        <v>41</v>
      </c>
      <c r="AT52" s="19" t="b">
        <f t="shared" si="72"/>
        <v>0</v>
      </c>
      <c r="AU52" s="18" t="b">
        <f t="shared" si="73"/>
        <v>1</v>
      </c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</row>
    <row r="53" spans="1:84" s="2" customFormat="1" x14ac:dyDescent="0.25">
      <c r="A53" s="10">
        <v>49</v>
      </c>
      <c r="B53" s="18" t="s">
        <v>129</v>
      </c>
      <c r="C53" s="19" t="s">
        <v>177</v>
      </c>
      <c r="D53" s="10">
        <v>0.94000000000000006</v>
      </c>
      <c r="E53" s="10"/>
      <c r="F53" s="18" t="s">
        <v>127</v>
      </c>
      <c r="G53" s="13">
        <v>42550</v>
      </c>
      <c r="H53" s="18" t="s">
        <v>127</v>
      </c>
      <c r="I53" s="18" t="s">
        <v>127</v>
      </c>
      <c r="J53" s="10" t="s">
        <v>92</v>
      </c>
      <c r="K53" s="10"/>
      <c r="L53" s="10">
        <v>0</v>
      </c>
      <c r="M53" s="10">
        <v>4</v>
      </c>
      <c r="N53" s="10" t="s">
        <v>93</v>
      </c>
      <c r="O53" s="10" t="s">
        <v>94</v>
      </c>
      <c r="P53" s="10" t="s">
        <v>107</v>
      </c>
      <c r="Q53" s="10" t="s">
        <v>96</v>
      </c>
      <c r="R53" s="10">
        <v>52</v>
      </c>
      <c r="S53" s="10">
        <v>4</v>
      </c>
      <c r="T53" s="10">
        <v>6</v>
      </c>
      <c r="U53" s="10"/>
      <c r="V53" s="10" t="s">
        <v>93</v>
      </c>
      <c r="W53" s="14">
        <v>0</v>
      </c>
      <c r="X53" s="10">
        <v>8</v>
      </c>
      <c r="Y53" s="10" t="s">
        <v>100</v>
      </c>
      <c r="Z53" s="10" t="s">
        <v>93</v>
      </c>
      <c r="AA53" s="10" t="s">
        <v>93</v>
      </c>
      <c r="AB53" s="10" t="s">
        <v>97</v>
      </c>
      <c r="AC53" s="10" t="s">
        <v>97</v>
      </c>
      <c r="AD53" s="15" t="s">
        <v>93</v>
      </c>
      <c r="AE53" s="8" t="s">
        <v>103</v>
      </c>
      <c r="AF53" s="10" t="s">
        <v>97</v>
      </c>
      <c r="AG53" s="10" t="s">
        <v>98</v>
      </c>
      <c r="AH53" s="9"/>
      <c r="AI53" s="9"/>
      <c r="AJ53" s="10">
        <v>8057</v>
      </c>
      <c r="AK53" s="29">
        <f t="shared" si="66"/>
        <v>0.5</v>
      </c>
      <c r="AL53" s="18" t="b">
        <f t="shared" si="67"/>
        <v>1</v>
      </c>
      <c r="AM53" s="10"/>
      <c r="AN53" s="10"/>
      <c r="AO53" s="18" t="e">
        <f t="shared" si="68"/>
        <v>#DIV/0!</v>
      </c>
      <c r="AP53" s="18" t="e">
        <f t="shared" si="69"/>
        <v>#DIV/0!</v>
      </c>
      <c r="AQ53" s="23" t="b">
        <f t="shared" si="70"/>
        <v>1</v>
      </c>
      <c r="AR53" s="18" t="b">
        <f t="shared" si="71"/>
        <v>0</v>
      </c>
      <c r="AS53" s="10" t="s">
        <v>41</v>
      </c>
      <c r="AT53" s="19" t="b">
        <f t="shared" si="72"/>
        <v>0</v>
      </c>
      <c r="AU53" s="18" t="b">
        <f t="shared" si="73"/>
        <v>1</v>
      </c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</row>
    <row r="54" spans="1:84" s="2" customFormat="1" x14ac:dyDescent="0.25">
      <c r="A54" s="10">
        <v>52</v>
      </c>
      <c r="B54" s="18" t="s">
        <v>129</v>
      </c>
      <c r="C54" s="19" t="s">
        <v>180</v>
      </c>
      <c r="D54" s="10"/>
      <c r="E54" s="10">
        <v>2</v>
      </c>
      <c r="F54" s="18" t="s">
        <v>127</v>
      </c>
      <c r="G54" s="10"/>
      <c r="H54" s="18" t="s">
        <v>127</v>
      </c>
      <c r="I54" s="18" t="s">
        <v>127</v>
      </c>
      <c r="J54" s="10" t="s">
        <v>92</v>
      </c>
      <c r="K54" s="10">
        <v>2</v>
      </c>
      <c r="L54" s="10">
        <v>0</v>
      </c>
      <c r="M54" s="10">
        <v>10</v>
      </c>
      <c r="N54" s="10" t="s">
        <v>93</v>
      </c>
      <c r="O54" s="10" t="s">
        <v>94</v>
      </c>
      <c r="P54" s="10" t="s">
        <v>113</v>
      </c>
      <c r="Q54" s="10" t="s">
        <v>111</v>
      </c>
      <c r="R54" s="10">
        <v>36</v>
      </c>
      <c r="S54" s="10">
        <v>6</v>
      </c>
      <c r="T54" s="10">
        <v>4</v>
      </c>
      <c r="U54" s="10"/>
      <c r="V54" s="10" t="s">
        <v>93</v>
      </c>
      <c r="W54" s="14">
        <v>0</v>
      </c>
      <c r="X54" s="10">
        <v>10</v>
      </c>
      <c r="Y54" s="10" t="s">
        <v>98</v>
      </c>
      <c r="Z54" s="10" t="s">
        <v>93</v>
      </c>
      <c r="AA54" s="10" t="s">
        <v>93</v>
      </c>
      <c r="AB54" s="10" t="s">
        <v>93</v>
      </c>
      <c r="AC54" s="10" t="s">
        <v>97</v>
      </c>
      <c r="AD54" s="15" t="s">
        <v>97</v>
      </c>
      <c r="AE54" s="8" t="s">
        <v>109</v>
      </c>
      <c r="AF54" s="10" t="s">
        <v>93</v>
      </c>
      <c r="AG54" s="10" t="s">
        <v>100</v>
      </c>
      <c r="AH54" s="9"/>
      <c r="AI54" s="9"/>
      <c r="AJ54" s="10">
        <v>6682</v>
      </c>
      <c r="AK54" s="29">
        <f t="shared" ref="AK54" si="74">M54/X54</f>
        <v>1</v>
      </c>
      <c r="AL54" s="18" t="b">
        <f t="shared" ref="AL54" si="75">OR(AK54&gt;1.5,AK54&lt;0.8)</f>
        <v>0</v>
      </c>
      <c r="AM54" s="10"/>
      <c r="AN54" s="10"/>
      <c r="AO54" s="18" t="e">
        <f t="shared" ref="AO54" si="76">M54/AN54</f>
        <v>#DIV/0!</v>
      </c>
      <c r="AP54" s="18" t="e">
        <f t="shared" ref="AP54" si="77">OR(AO54&gt;1.5,AO54&lt;0.8)</f>
        <v>#DIV/0!</v>
      </c>
      <c r="AQ54" s="23" t="b">
        <f t="shared" ref="AQ54" si="78">OR(AK54&gt;1.5,AK54&lt;0.8,V54="N",L54&gt;0.01)</f>
        <v>1</v>
      </c>
      <c r="AR54" s="18" t="b">
        <f t="shared" ref="AR54" si="79">AND(J54="Span Bridge", AK54&gt;1)</f>
        <v>0</v>
      </c>
      <c r="AS54" s="17" t="s">
        <v>41</v>
      </c>
      <c r="AT54" s="19" t="b">
        <f t="shared" ref="AT54" si="80">AND(L54=0,AK54&gt;0.8,AK54&lt;1.5,V54="N",AD54="N")</f>
        <v>0</v>
      </c>
      <c r="AU54" s="18" t="b">
        <f t="shared" ref="AU54" si="81">AND(AQ54=TRUE,AR54=FALSE,AT54=FALSE)</f>
        <v>1</v>
      </c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</row>
  </sheetData>
  <conditionalFormatting sqref="AE1:AF1">
    <cfRule type="containsText" dxfId="153" priority="210" operator="containsText" text="Y">
      <formula>NOT(ISERROR(SEARCH("Y",AE1)))</formula>
    </cfRule>
  </conditionalFormatting>
  <conditionalFormatting sqref="AM1:AN1">
    <cfRule type="expression" priority="208">
      <formula>OR($AM$1&gt;120,$AM$1&lt;80)</formula>
    </cfRule>
    <cfRule type="cellIs" priority="209" operator="greaterThanOrEqual">
      <formula>120</formula>
    </cfRule>
  </conditionalFormatting>
  <conditionalFormatting sqref="AG1">
    <cfRule type="containsText" dxfId="152" priority="207" operator="containsText" text="Y">
      <formula>NOT(ISERROR(SEARCH("Y",AG1)))</formula>
    </cfRule>
  </conditionalFormatting>
  <conditionalFormatting sqref="AS1">
    <cfRule type="cellIs" dxfId="151" priority="206" operator="equal">
      <formula>TRUE</formula>
    </cfRule>
  </conditionalFormatting>
  <conditionalFormatting sqref="AT1">
    <cfRule type="cellIs" dxfId="150" priority="205" operator="equal">
      <formula>FALSE</formula>
    </cfRule>
  </conditionalFormatting>
  <conditionalFormatting sqref="AU1">
    <cfRule type="cellIs" dxfId="149" priority="204" operator="equal">
      <formula>TRUE</formula>
    </cfRule>
  </conditionalFormatting>
  <conditionalFormatting sqref="AT2">
    <cfRule type="cellIs" dxfId="148" priority="203" operator="equal">
      <formula>FALSE</formula>
    </cfRule>
  </conditionalFormatting>
  <conditionalFormatting sqref="AU2">
    <cfRule type="cellIs" dxfId="147" priority="202" operator="equal">
      <formula>TRUE</formula>
    </cfRule>
  </conditionalFormatting>
  <conditionalFormatting sqref="AT3">
    <cfRule type="cellIs" dxfId="146" priority="201" operator="equal">
      <formula>FALSE</formula>
    </cfRule>
  </conditionalFormatting>
  <conditionalFormatting sqref="AU3">
    <cfRule type="cellIs" dxfId="145" priority="200" operator="equal">
      <formula>TRUE</formula>
    </cfRule>
  </conditionalFormatting>
  <conditionalFormatting sqref="AT4">
    <cfRule type="cellIs" dxfId="144" priority="199" operator="equal">
      <formula>FALSE</formula>
    </cfRule>
  </conditionalFormatting>
  <conditionalFormatting sqref="AU4">
    <cfRule type="cellIs" dxfId="143" priority="198" operator="equal">
      <formula>TRUE</formula>
    </cfRule>
  </conditionalFormatting>
  <conditionalFormatting sqref="AT5">
    <cfRule type="cellIs" dxfId="142" priority="197" operator="equal">
      <formula>FALSE</formula>
    </cfRule>
  </conditionalFormatting>
  <conditionalFormatting sqref="AU5">
    <cfRule type="cellIs" dxfId="141" priority="196" operator="equal">
      <formula>TRUE</formula>
    </cfRule>
  </conditionalFormatting>
  <conditionalFormatting sqref="AT6">
    <cfRule type="cellIs" dxfId="140" priority="195" operator="equal">
      <formula>FALSE</formula>
    </cfRule>
  </conditionalFormatting>
  <conditionalFormatting sqref="AU6">
    <cfRule type="cellIs" dxfId="139" priority="194" operator="equal">
      <formula>TRUE</formula>
    </cfRule>
  </conditionalFormatting>
  <conditionalFormatting sqref="AT24">
    <cfRule type="cellIs" dxfId="138" priority="88" operator="equal">
      <formula>FALSE</formula>
    </cfRule>
  </conditionalFormatting>
  <conditionalFormatting sqref="AU24">
    <cfRule type="cellIs" dxfId="137" priority="87" operator="equal">
      <formula>TRUE</formula>
    </cfRule>
  </conditionalFormatting>
  <conditionalFormatting sqref="AT8">
    <cfRule type="cellIs" dxfId="136" priority="191" operator="equal">
      <formula>FALSE</formula>
    </cfRule>
  </conditionalFormatting>
  <conditionalFormatting sqref="AU8">
    <cfRule type="cellIs" dxfId="135" priority="190" operator="equal">
      <formula>TRUE</formula>
    </cfRule>
  </conditionalFormatting>
  <conditionalFormatting sqref="AT9">
    <cfRule type="cellIs" dxfId="134" priority="189" operator="equal">
      <formula>FALSE</formula>
    </cfRule>
  </conditionalFormatting>
  <conditionalFormatting sqref="AU9">
    <cfRule type="cellIs" dxfId="133" priority="188" operator="equal">
      <formula>TRUE</formula>
    </cfRule>
  </conditionalFormatting>
  <conditionalFormatting sqref="AT10">
    <cfRule type="cellIs" dxfId="132" priority="187" operator="equal">
      <formula>FALSE</formula>
    </cfRule>
  </conditionalFormatting>
  <conditionalFormatting sqref="AU10">
    <cfRule type="cellIs" dxfId="131" priority="186" operator="equal">
      <formula>TRUE</formula>
    </cfRule>
  </conditionalFormatting>
  <conditionalFormatting sqref="AT11">
    <cfRule type="cellIs" dxfId="130" priority="185" operator="equal">
      <formula>FALSE</formula>
    </cfRule>
  </conditionalFormatting>
  <conditionalFormatting sqref="AU11">
    <cfRule type="cellIs" dxfId="129" priority="184" operator="equal">
      <formula>TRUE</formula>
    </cfRule>
  </conditionalFormatting>
  <conditionalFormatting sqref="AT12">
    <cfRule type="cellIs" dxfId="128" priority="183" operator="equal">
      <formula>FALSE</formula>
    </cfRule>
  </conditionalFormatting>
  <conditionalFormatting sqref="AU12">
    <cfRule type="cellIs" dxfId="127" priority="182" operator="equal">
      <formula>TRUE</formula>
    </cfRule>
  </conditionalFormatting>
  <conditionalFormatting sqref="AT13">
    <cfRule type="cellIs" dxfId="126" priority="181" operator="equal">
      <formula>FALSE</formula>
    </cfRule>
  </conditionalFormatting>
  <conditionalFormatting sqref="AU13">
    <cfRule type="cellIs" dxfId="125" priority="180" operator="equal">
      <formula>TRUE</formula>
    </cfRule>
  </conditionalFormatting>
  <conditionalFormatting sqref="AT14">
    <cfRule type="cellIs" dxfId="124" priority="179" operator="equal">
      <formula>FALSE</formula>
    </cfRule>
  </conditionalFormatting>
  <conditionalFormatting sqref="AU14">
    <cfRule type="cellIs" dxfId="123" priority="178" operator="equal">
      <formula>TRUE</formula>
    </cfRule>
  </conditionalFormatting>
  <conditionalFormatting sqref="AT15">
    <cfRule type="cellIs" dxfId="122" priority="177" operator="equal">
      <formula>FALSE</formula>
    </cfRule>
  </conditionalFormatting>
  <conditionalFormatting sqref="AU15">
    <cfRule type="cellIs" dxfId="121" priority="176" operator="equal">
      <formula>TRUE</formula>
    </cfRule>
  </conditionalFormatting>
  <conditionalFormatting sqref="AT17">
    <cfRule type="cellIs" dxfId="120" priority="173" operator="equal">
      <formula>FALSE</formula>
    </cfRule>
  </conditionalFormatting>
  <conditionalFormatting sqref="AU17">
    <cfRule type="cellIs" dxfId="119" priority="172" operator="equal">
      <formula>TRUE</formula>
    </cfRule>
  </conditionalFormatting>
  <conditionalFormatting sqref="AT18">
    <cfRule type="cellIs" dxfId="118" priority="171" operator="equal">
      <formula>FALSE</formula>
    </cfRule>
  </conditionalFormatting>
  <conditionalFormatting sqref="AU18">
    <cfRule type="cellIs" dxfId="117" priority="170" operator="equal">
      <formula>TRUE</formula>
    </cfRule>
  </conditionalFormatting>
  <conditionalFormatting sqref="AD23:AE23">
    <cfRule type="containsText" dxfId="116" priority="153" operator="containsText" text="Y">
      <formula>NOT(ISERROR(SEARCH("Y",AD23)))</formula>
    </cfRule>
  </conditionalFormatting>
  <conditionalFormatting sqref="AF23">
    <cfRule type="containsText" dxfId="115" priority="152" operator="containsText" text="Y">
      <formula>NOT(ISERROR(SEARCH("Y",AF23)))</formula>
    </cfRule>
  </conditionalFormatting>
  <conditionalFormatting sqref="AT23">
    <cfRule type="cellIs" dxfId="114" priority="151" operator="equal">
      <formula>FALSE</formula>
    </cfRule>
  </conditionalFormatting>
  <conditionalFormatting sqref="AU23">
    <cfRule type="cellIs" dxfId="113" priority="150" operator="equal">
      <formula>TRUE</formula>
    </cfRule>
  </conditionalFormatting>
  <conditionalFormatting sqref="AD40:AE40">
    <cfRule type="containsText" dxfId="112" priority="60" operator="containsText" text="Y">
      <formula>NOT(ISERROR(SEARCH("Y",AD40)))</formula>
    </cfRule>
  </conditionalFormatting>
  <conditionalFormatting sqref="AF40">
    <cfRule type="containsText" dxfId="111" priority="59" operator="containsText" text="Y">
      <formula>NOT(ISERROR(SEARCH("Y",AF40)))</formula>
    </cfRule>
  </conditionalFormatting>
  <conditionalFormatting sqref="AD26:AE26">
    <cfRule type="containsText" dxfId="110" priority="141" operator="containsText" text="Y">
      <formula>NOT(ISERROR(SEARCH("Y",AD26)))</formula>
    </cfRule>
  </conditionalFormatting>
  <conditionalFormatting sqref="AF26">
    <cfRule type="containsText" dxfId="109" priority="140" operator="containsText" text="Y">
      <formula>NOT(ISERROR(SEARCH("Y",AF26)))</formula>
    </cfRule>
  </conditionalFormatting>
  <conditionalFormatting sqref="AT26">
    <cfRule type="cellIs" dxfId="108" priority="139" operator="equal">
      <formula>FALSE</formula>
    </cfRule>
  </conditionalFormatting>
  <conditionalFormatting sqref="AU26">
    <cfRule type="cellIs" dxfId="107" priority="138" operator="equal">
      <formula>TRUE</formula>
    </cfRule>
  </conditionalFormatting>
  <conditionalFormatting sqref="AD42:AE42">
    <cfRule type="containsText" dxfId="106" priority="52" operator="containsText" text="Y">
      <formula>NOT(ISERROR(SEARCH("Y",AD42)))</formula>
    </cfRule>
  </conditionalFormatting>
  <conditionalFormatting sqref="AF42">
    <cfRule type="containsText" dxfId="105" priority="51" operator="containsText" text="Y">
      <formula>NOT(ISERROR(SEARCH("Y",AF42)))</formula>
    </cfRule>
  </conditionalFormatting>
  <conditionalFormatting sqref="AD43:AE43">
    <cfRule type="containsText" dxfId="104" priority="48" operator="containsText" text="Y">
      <formula>NOT(ISERROR(SEARCH("Y",AD43)))</formula>
    </cfRule>
  </conditionalFormatting>
  <conditionalFormatting sqref="AF43">
    <cfRule type="containsText" dxfId="103" priority="47" operator="containsText" text="Y">
      <formula>NOT(ISERROR(SEARCH("Y",AF43)))</formula>
    </cfRule>
  </conditionalFormatting>
  <conditionalFormatting sqref="AD44:AE44">
    <cfRule type="containsText" dxfId="102" priority="44" operator="containsText" text="Y">
      <formula>NOT(ISERROR(SEARCH("Y",AD44)))</formula>
    </cfRule>
  </conditionalFormatting>
  <conditionalFormatting sqref="AD32:AE32">
    <cfRule type="containsText" dxfId="101" priority="117" operator="containsText" text="Y">
      <formula>NOT(ISERROR(SEARCH("Y",AD32)))</formula>
    </cfRule>
  </conditionalFormatting>
  <conditionalFormatting sqref="AF32">
    <cfRule type="containsText" dxfId="100" priority="116" operator="containsText" text="Y">
      <formula>NOT(ISERROR(SEARCH("Y",AF32)))</formula>
    </cfRule>
  </conditionalFormatting>
  <conditionalFormatting sqref="AT32">
    <cfRule type="cellIs" dxfId="99" priority="115" operator="equal">
      <formula>FALSE</formula>
    </cfRule>
  </conditionalFormatting>
  <conditionalFormatting sqref="AU32">
    <cfRule type="cellIs" dxfId="98" priority="114" operator="equal">
      <formula>TRUE</formula>
    </cfRule>
  </conditionalFormatting>
  <conditionalFormatting sqref="AD33:AE33">
    <cfRule type="containsText" dxfId="97" priority="113" operator="containsText" text="Y">
      <formula>NOT(ISERROR(SEARCH("Y",AD33)))</formula>
    </cfRule>
  </conditionalFormatting>
  <conditionalFormatting sqref="AF33">
    <cfRule type="containsText" dxfId="96" priority="112" operator="containsText" text="Y">
      <formula>NOT(ISERROR(SEARCH("Y",AF33)))</formula>
    </cfRule>
  </conditionalFormatting>
  <conditionalFormatting sqref="AT33">
    <cfRule type="cellIs" dxfId="95" priority="111" operator="equal">
      <formula>FALSE</formula>
    </cfRule>
  </conditionalFormatting>
  <conditionalFormatting sqref="AU33">
    <cfRule type="cellIs" dxfId="94" priority="110" operator="equal">
      <formula>TRUE</formula>
    </cfRule>
  </conditionalFormatting>
  <conditionalFormatting sqref="AF46">
    <cfRule type="containsText" dxfId="93" priority="35" operator="containsText" text="Y">
      <formula>NOT(ISERROR(SEARCH("Y",AF46)))</formula>
    </cfRule>
  </conditionalFormatting>
  <conditionalFormatting sqref="AE7:AF7">
    <cfRule type="containsText" dxfId="92" priority="105" operator="containsText" text="Y">
      <formula>NOT(ISERROR(SEARCH("Y",AE7)))</formula>
    </cfRule>
  </conditionalFormatting>
  <conditionalFormatting sqref="AM7:AN7">
    <cfRule type="expression" priority="103">
      <formula>OR($AM$7&gt;120,$AM$7&lt;80)</formula>
    </cfRule>
    <cfRule type="cellIs" priority="104" operator="greaterThanOrEqual">
      <formula>120</formula>
    </cfRule>
  </conditionalFormatting>
  <conditionalFormatting sqref="AG7">
    <cfRule type="containsText" dxfId="91" priority="102" operator="containsText" text="Y">
      <formula>NOT(ISERROR(SEARCH("Y",AG7)))</formula>
    </cfRule>
  </conditionalFormatting>
  <conditionalFormatting sqref="AS7">
    <cfRule type="cellIs" dxfId="90" priority="101" operator="equal">
      <formula>TRUE</formula>
    </cfRule>
  </conditionalFormatting>
  <conditionalFormatting sqref="AT7">
    <cfRule type="cellIs" dxfId="89" priority="100" operator="equal">
      <formula>FALSE</formula>
    </cfRule>
  </conditionalFormatting>
  <conditionalFormatting sqref="AU7">
    <cfRule type="cellIs" dxfId="88" priority="99" operator="equal">
      <formula>TRUE</formula>
    </cfRule>
  </conditionalFormatting>
  <conditionalFormatting sqref="AT16">
    <cfRule type="cellIs" dxfId="87" priority="98" operator="equal">
      <formula>FALSE</formula>
    </cfRule>
  </conditionalFormatting>
  <conditionalFormatting sqref="AU16">
    <cfRule type="cellIs" dxfId="86" priority="97" operator="equal">
      <formula>TRUE</formula>
    </cfRule>
  </conditionalFormatting>
  <conditionalFormatting sqref="AT19">
    <cfRule type="cellIs" dxfId="85" priority="96" operator="equal">
      <formula>FALSE</formula>
    </cfRule>
  </conditionalFormatting>
  <conditionalFormatting sqref="AU19">
    <cfRule type="cellIs" dxfId="84" priority="95" operator="equal">
      <formula>TRUE</formula>
    </cfRule>
  </conditionalFormatting>
  <conditionalFormatting sqref="AT20">
    <cfRule type="cellIs" dxfId="83" priority="94" operator="equal">
      <formula>FALSE</formula>
    </cfRule>
  </conditionalFormatting>
  <conditionalFormatting sqref="AU20">
    <cfRule type="cellIs" dxfId="82" priority="93" operator="equal">
      <formula>TRUE</formula>
    </cfRule>
  </conditionalFormatting>
  <conditionalFormatting sqref="AT21">
    <cfRule type="cellIs" dxfId="81" priority="92" operator="equal">
      <formula>FALSE</formula>
    </cfRule>
  </conditionalFormatting>
  <conditionalFormatting sqref="AU21">
    <cfRule type="cellIs" dxfId="80" priority="91" operator="equal">
      <formula>TRUE</formula>
    </cfRule>
  </conditionalFormatting>
  <conditionalFormatting sqref="AT22">
    <cfRule type="cellIs" dxfId="79" priority="90" operator="equal">
      <formula>FALSE</formula>
    </cfRule>
  </conditionalFormatting>
  <conditionalFormatting sqref="AU22">
    <cfRule type="cellIs" dxfId="78" priority="89" operator="equal">
      <formula>TRUE</formula>
    </cfRule>
  </conditionalFormatting>
  <conditionalFormatting sqref="AT25">
    <cfRule type="cellIs" dxfId="77" priority="86" operator="equal">
      <formula>FALSE</formula>
    </cfRule>
  </conditionalFormatting>
  <conditionalFormatting sqref="AU25">
    <cfRule type="cellIs" dxfId="76" priority="85" operator="equal">
      <formula>TRUE</formula>
    </cfRule>
  </conditionalFormatting>
  <conditionalFormatting sqref="AT27">
    <cfRule type="cellIs" dxfId="75" priority="84" operator="equal">
      <formula>FALSE</formula>
    </cfRule>
  </conditionalFormatting>
  <conditionalFormatting sqref="AU27">
    <cfRule type="cellIs" dxfId="74" priority="83" operator="equal">
      <formula>TRUE</formula>
    </cfRule>
  </conditionalFormatting>
  <conditionalFormatting sqref="AT28">
    <cfRule type="cellIs" dxfId="73" priority="82" operator="equal">
      <formula>FALSE</formula>
    </cfRule>
  </conditionalFormatting>
  <conditionalFormatting sqref="AU28">
    <cfRule type="cellIs" dxfId="72" priority="81" operator="equal">
      <formula>TRUE</formula>
    </cfRule>
  </conditionalFormatting>
  <conditionalFormatting sqref="AT29">
    <cfRule type="cellIs" dxfId="71" priority="80" operator="equal">
      <formula>FALSE</formula>
    </cfRule>
  </conditionalFormatting>
  <conditionalFormatting sqref="AU29">
    <cfRule type="cellIs" dxfId="70" priority="79" operator="equal">
      <formula>TRUE</formula>
    </cfRule>
  </conditionalFormatting>
  <conditionalFormatting sqref="AT30">
    <cfRule type="cellIs" dxfId="69" priority="78" operator="equal">
      <formula>FALSE</formula>
    </cfRule>
  </conditionalFormatting>
  <conditionalFormatting sqref="AU30">
    <cfRule type="cellIs" dxfId="68" priority="77" operator="equal">
      <formula>TRUE</formula>
    </cfRule>
  </conditionalFormatting>
  <conditionalFormatting sqref="AT31">
    <cfRule type="cellIs" dxfId="67" priority="76" operator="equal">
      <formula>FALSE</formula>
    </cfRule>
  </conditionalFormatting>
  <conditionalFormatting sqref="AU31">
    <cfRule type="cellIs" dxfId="66" priority="75" operator="equal">
      <formula>TRUE</formula>
    </cfRule>
  </conditionalFormatting>
  <conditionalFormatting sqref="AT34">
    <cfRule type="cellIs" dxfId="65" priority="74" operator="equal">
      <formula>FALSE</formula>
    </cfRule>
  </conditionalFormatting>
  <conditionalFormatting sqref="AU34">
    <cfRule type="cellIs" dxfId="64" priority="73" operator="equal">
      <formula>TRUE</formula>
    </cfRule>
  </conditionalFormatting>
  <conditionalFormatting sqref="AT35">
    <cfRule type="cellIs" dxfId="63" priority="72" operator="equal">
      <formula>FALSE</formula>
    </cfRule>
  </conditionalFormatting>
  <conditionalFormatting sqref="AU35">
    <cfRule type="cellIs" dxfId="62" priority="71" operator="equal">
      <formula>TRUE</formula>
    </cfRule>
  </conditionalFormatting>
  <conditionalFormatting sqref="AT36">
    <cfRule type="cellIs" dxfId="61" priority="70" operator="equal">
      <formula>FALSE</formula>
    </cfRule>
  </conditionalFormatting>
  <conditionalFormatting sqref="AU36">
    <cfRule type="cellIs" dxfId="60" priority="69" operator="equal">
      <formula>TRUE</formula>
    </cfRule>
  </conditionalFormatting>
  <conditionalFormatting sqref="AT37">
    <cfRule type="cellIs" dxfId="59" priority="68" operator="equal">
      <formula>FALSE</formula>
    </cfRule>
  </conditionalFormatting>
  <conditionalFormatting sqref="AU37">
    <cfRule type="cellIs" dxfId="58" priority="67" operator="equal">
      <formula>TRUE</formula>
    </cfRule>
  </conditionalFormatting>
  <conditionalFormatting sqref="AT38">
    <cfRule type="cellIs" dxfId="57" priority="66" operator="equal">
      <formula>FALSE</formula>
    </cfRule>
  </conditionalFormatting>
  <conditionalFormatting sqref="AU38">
    <cfRule type="cellIs" dxfId="56" priority="65" operator="equal">
      <formula>TRUE</formula>
    </cfRule>
  </conditionalFormatting>
  <conditionalFormatting sqref="AD39:AE39">
    <cfRule type="containsText" dxfId="55" priority="64" operator="containsText" text="Y">
      <formula>NOT(ISERROR(SEARCH("Y",AD39)))</formula>
    </cfRule>
  </conditionalFormatting>
  <conditionalFormatting sqref="AF39">
    <cfRule type="containsText" dxfId="54" priority="63" operator="containsText" text="Y">
      <formula>NOT(ISERROR(SEARCH("Y",AF39)))</formula>
    </cfRule>
  </conditionalFormatting>
  <conditionalFormatting sqref="AT39">
    <cfRule type="cellIs" dxfId="53" priority="62" operator="equal">
      <formula>FALSE</formula>
    </cfRule>
  </conditionalFormatting>
  <conditionalFormatting sqref="AU39">
    <cfRule type="cellIs" dxfId="52" priority="61" operator="equal">
      <formula>TRUE</formula>
    </cfRule>
  </conditionalFormatting>
  <conditionalFormatting sqref="AT40">
    <cfRule type="cellIs" dxfId="51" priority="58" operator="equal">
      <formula>FALSE</formula>
    </cfRule>
  </conditionalFormatting>
  <conditionalFormatting sqref="AU40">
    <cfRule type="cellIs" dxfId="50" priority="57" operator="equal">
      <formula>TRUE</formula>
    </cfRule>
  </conditionalFormatting>
  <conditionalFormatting sqref="AD41:AE41">
    <cfRule type="containsText" dxfId="49" priority="56" operator="containsText" text="Y">
      <formula>NOT(ISERROR(SEARCH("Y",AD41)))</formula>
    </cfRule>
  </conditionalFormatting>
  <conditionalFormatting sqref="AF41">
    <cfRule type="containsText" dxfId="48" priority="55" operator="containsText" text="Y">
      <formula>NOT(ISERROR(SEARCH("Y",AF41)))</formula>
    </cfRule>
  </conditionalFormatting>
  <conditionalFormatting sqref="AT41">
    <cfRule type="cellIs" dxfId="47" priority="54" operator="equal">
      <formula>FALSE</formula>
    </cfRule>
  </conditionalFormatting>
  <conditionalFormatting sqref="AU41">
    <cfRule type="cellIs" dxfId="46" priority="53" operator="equal">
      <formula>TRUE</formula>
    </cfRule>
  </conditionalFormatting>
  <conditionalFormatting sqref="AT42">
    <cfRule type="cellIs" dxfId="45" priority="50" operator="equal">
      <formula>FALSE</formula>
    </cfRule>
  </conditionalFormatting>
  <conditionalFormatting sqref="AU42">
    <cfRule type="cellIs" dxfId="44" priority="49" operator="equal">
      <formula>TRUE</formula>
    </cfRule>
  </conditionalFormatting>
  <conditionalFormatting sqref="AT43">
    <cfRule type="cellIs" dxfId="43" priority="46" operator="equal">
      <formula>FALSE</formula>
    </cfRule>
  </conditionalFormatting>
  <conditionalFormatting sqref="AU43">
    <cfRule type="cellIs" dxfId="42" priority="45" operator="equal">
      <formula>TRUE</formula>
    </cfRule>
  </conditionalFormatting>
  <conditionalFormatting sqref="AF44">
    <cfRule type="containsText" dxfId="41" priority="43" operator="containsText" text="Y">
      <formula>NOT(ISERROR(SEARCH("Y",AF44)))</formula>
    </cfRule>
  </conditionalFormatting>
  <conditionalFormatting sqref="AT44">
    <cfRule type="cellIs" dxfId="40" priority="42" operator="equal">
      <formula>FALSE</formula>
    </cfRule>
  </conditionalFormatting>
  <conditionalFormatting sqref="AU44">
    <cfRule type="cellIs" dxfId="39" priority="41" operator="equal">
      <formula>TRUE</formula>
    </cfRule>
  </conditionalFormatting>
  <conditionalFormatting sqref="AD45:AE45">
    <cfRule type="containsText" dxfId="38" priority="40" operator="containsText" text="Y">
      <formula>NOT(ISERROR(SEARCH("Y",AD45)))</formula>
    </cfRule>
  </conditionalFormatting>
  <conditionalFormatting sqref="AF45">
    <cfRule type="containsText" dxfId="37" priority="39" operator="containsText" text="Y">
      <formula>NOT(ISERROR(SEARCH("Y",AF45)))</formula>
    </cfRule>
  </conditionalFormatting>
  <conditionalFormatting sqref="AT45">
    <cfRule type="cellIs" dxfId="36" priority="38" operator="equal">
      <formula>FALSE</formula>
    </cfRule>
  </conditionalFormatting>
  <conditionalFormatting sqref="AU45">
    <cfRule type="cellIs" dxfId="35" priority="37" operator="equal">
      <formula>TRUE</formula>
    </cfRule>
  </conditionalFormatting>
  <conditionalFormatting sqref="AD46:AE46">
    <cfRule type="containsText" dxfId="34" priority="36" operator="containsText" text="Y">
      <formula>NOT(ISERROR(SEARCH("Y",AD46)))</formula>
    </cfRule>
  </conditionalFormatting>
  <conditionalFormatting sqref="AT46">
    <cfRule type="cellIs" dxfId="33" priority="34" operator="equal">
      <formula>FALSE</formula>
    </cfRule>
  </conditionalFormatting>
  <conditionalFormatting sqref="AU46">
    <cfRule type="cellIs" dxfId="32" priority="33" operator="equal">
      <formula>TRUE</formula>
    </cfRule>
  </conditionalFormatting>
  <conditionalFormatting sqref="AD47:AE47">
    <cfRule type="containsText" dxfId="31" priority="32" operator="containsText" text="Y">
      <formula>NOT(ISERROR(SEARCH("Y",AD47)))</formula>
    </cfRule>
  </conditionalFormatting>
  <conditionalFormatting sqref="AF47">
    <cfRule type="containsText" dxfId="30" priority="31" operator="containsText" text="Y">
      <formula>NOT(ISERROR(SEARCH("Y",AF47)))</formula>
    </cfRule>
  </conditionalFormatting>
  <conditionalFormatting sqref="AT47">
    <cfRule type="cellIs" dxfId="29" priority="30" operator="equal">
      <formula>FALSE</formula>
    </cfRule>
  </conditionalFormatting>
  <conditionalFormatting sqref="AU47">
    <cfRule type="cellIs" dxfId="28" priority="29" operator="equal">
      <formula>TRUE</formula>
    </cfRule>
  </conditionalFormatting>
  <conditionalFormatting sqref="AD48:AE48">
    <cfRule type="containsText" dxfId="27" priority="28" operator="containsText" text="Y">
      <formula>NOT(ISERROR(SEARCH("Y",AD48)))</formula>
    </cfRule>
  </conditionalFormatting>
  <conditionalFormatting sqref="AF48">
    <cfRule type="containsText" dxfId="26" priority="27" operator="containsText" text="Y">
      <formula>NOT(ISERROR(SEARCH("Y",AF48)))</formula>
    </cfRule>
  </conditionalFormatting>
  <conditionalFormatting sqref="AT48">
    <cfRule type="cellIs" dxfId="25" priority="26" operator="equal">
      <formula>FALSE</formula>
    </cfRule>
  </conditionalFormatting>
  <conditionalFormatting sqref="AU48">
    <cfRule type="cellIs" dxfId="24" priority="25" operator="equal">
      <formula>TRUE</formula>
    </cfRule>
  </conditionalFormatting>
  <conditionalFormatting sqref="AD49:AE49">
    <cfRule type="containsText" dxfId="23" priority="24" operator="containsText" text="Y">
      <formula>NOT(ISERROR(SEARCH("Y",AD49)))</formula>
    </cfRule>
  </conditionalFormatting>
  <conditionalFormatting sqref="AF49">
    <cfRule type="containsText" dxfId="22" priority="23" operator="containsText" text="Y">
      <formula>NOT(ISERROR(SEARCH("Y",AF49)))</formula>
    </cfRule>
  </conditionalFormatting>
  <conditionalFormatting sqref="AT49">
    <cfRule type="cellIs" dxfId="21" priority="22" operator="equal">
      <formula>FALSE</formula>
    </cfRule>
  </conditionalFormatting>
  <conditionalFormatting sqref="AU49">
    <cfRule type="cellIs" dxfId="20" priority="21" operator="equal">
      <formula>TRUE</formula>
    </cfRule>
  </conditionalFormatting>
  <conditionalFormatting sqref="AD50:AE50">
    <cfRule type="containsText" dxfId="19" priority="20" operator="containsText" text="Y">
      <formula>NOT(ISERROR(SEARCH("Y",AD50)))</formula>
    </cfRule>
  </conditionalFormatting>
  <conditionalFormatting sqref="AF50">
    <cfRule type="containsText" dxfId="18" priority="19" operator="containsText" text="Y">
      <formula>NOT(ISERROR(SEARCH("Y",AF50)))</formula>
    </cfRule>
  </conditionalFormatting>
  <conditionalFormatting sqref="AT50">
    <cfRule type="cellIs" dxfId="17" priority="18" operator="equal">
      <formula>FALSE</formula>
    </cfRule>
  </conditionalFormatting>
  <conditionalFormatting sqref="AU50">
    <cfRule type="cellIs" dxfId="16" priority="17" operator="equal">
      <formula>TRUE</formula>
    </cfRule>
  </conditionalFormatting>
  <conditionalFormatting sqref="AD51:AE51">
    <cfRule type="containsText" dxfId="15" priority="16" operator="containsText" text="Y">
      <formula>NOT(ISERROR(SEARCH("Y",AD51)))</formula>
    </cfRule>
  </conditionalFormatting>
  <conditionalFormatting sqref="AF51">
    <cfRule type="containsText" dxfId="14" priority="15" operator="containsText" text="Y">
      <formula>NOT(ISERROR(SEARCH("Y",AF51)))</formula>
    </cfRule>
  </conditionalFormatting>
  <conditionalFormatting sqref="AT51">
    <cfRule type="cellIs" dxfId="13" priority="14" operator="equal">
      <formula>FALSE</formula>
    </cfRule>
  </conditionalFormatting>
  <conditionalFormatting sqref="AU51">
    <cfRule type="cellIs" dxfId="12" priority="13" operator="equal">
      <formula>TRUE</formula>
    </cfRule>
  </conditionalFormatting>
  <conditionalFormatting sqref="AD52:AE52">
    <cfRule type="containsText" dxfId="11" priority="12" operator="containsText" text="Y">
      <formula>NOT(ISERROR(SEARCH("Y",AD52)))</formula>
    </cfRule>
  </conditionalFormatting>
  <conditionalFormatting sqref="AF52">
    <cfRule type="containsText" dxfId="10" priority="11" operator="containsText" text="Y">
      <formula>NOT(ISERROR(SEARCH("Y",AF52)))</formula>
    </cfRule>
  </conditionalFormatting>
  <conditionalFormatting sqref="AT52">
    <cfRule type="cellIs" dxfId="9" priority="10" operator="equal">
      <formula>FALSE</formula>
    </cfRule>
  </conditionalFormatting>
  <conditionalFormatting sqref="AU52">
    <cfRule type="cellIs" dxfId="8" priority="9" operator="equal">
      <formula>TRUE</formula>
    </cfRule>
  </conditionalFormatting>
  <conditionalFormatting sqref="AD53:AE53">
    <cfRule type="containsText" dxfId="7" priority="8" operator="containsText" text="Y">
      <formula>NOT(ISERROR(SEARCH("Y",AD53)))</formula>
    </cfRule>
  </conditionalFormatting>
  <conditionalFormatting sqref="AF53">
    <cfRule type="containsText" dxfId="6" priority="7" operator="containsText" text="Y">
      <formula>NOT(ISERROR(SEARCH("Y",AF53)))</formula>
    </cfRule>
  </conditionalFormatting>
  <conditionalFormatting sqref="AT53">
    <cfRule type="cellIs" dxfId="5" priority="6" operator="equal">
      <formula>FALSE</formula>
    </cfRule>
  </conditionalFormatting>
  <conditionalFormatting sqref="AU53">
    <cfRule type="cellIs" dxfId="4" priority="5" operator="equal">
      <formula>TRUE</formula>
    </cfRule>
  </conditionalFormatting>
  <conditionalFormatting sqref="AD54:AE54">
    <cfRule type="containsText" dxfId="3" priority="4" operator="containsText" text="Y">
      <formula>NOT(ISERROR(SEARCH("Y",AD54)))</formula>
    </cfRule>
  </conditionalFormatting>
  <conditionalFormatting sqref="AF54">
    <cfRule type="containsText" dxfId="2" priority="3" operator="containsText" text="Y">
      <formula>NOT(ISERROR(SEARCH("Y",AF54)))</formula>
    </cfRule>
  </conditionalFormatting>
  <conditionalFormatting sqref="AT54">
    <cfRule type="cellIs" dxfId="1" priority="2" operator="equal">
      <formula>FALSE</formula>
    </cfRule>
  </conditionalFormatting>
  <conditionalFormatting sqref="AU54">
    <cfRule type="cellIs" dxfId="0" priority="1" operator="equal">
      <formula>TRUE</formula>
    </cfRule>
  </conditionalFormatting>
  <dataValidations count="11">
    <dataValidation type="list" allowBlank="1" showInputMessage="1" showErrorMessage="1" sqref="P1:P42 P43 P44:P53 P54">
      <formula1>Opening_Shape</formula1>
    </dataValidation>
    <dataValidation type="date" allowBlank="1" showInputMessage="1" showErrorMessage="1" sqref="G1:G42 G43 G44:G53 G54">
      <formula1>42370</formula1>
      <formula2>42735</formula2>
    </dataValidation>
    <dataValidation type="list" allowBlank="1" showInputMessage="1" showErrorMessage="1" sqref="AG1:AG42 Y1:Y42 AG43 Y43 AG44:AG53 Y44:Y53 AG54 Y54">
      <formula1>Rank</formula1>
    </dataValidation>
    <dataValidation type="list" allowBlank="1" showInputMessage="1" showErrorMessage="1" sqref="Q1:Q42 Q43 Q44:Q53 Q54">
      <formula1>Material</formula1>
    </dataValidation>
    <dataValidation type="list" allowBlank="1" showInputMessage="1" showErrorMessage="1" sqref="O1:O42 O43 O44:O53 O54">
      <formula1>Culvert_Type</formula1>
    </dataValidation>
    <dataValidation type="list" allowBlank="1" showInputMessage="1" showErrorMessage="1" sqref="N1:N42 Z1:AD42 V1:V42 AF1:AF42 V43 N43 Z43:AD43 AF43 V44:V53 N44:N53 Z44:AD53 AF44:AF53 V54 N54 Z54:AD54 AF54">
      <formula1>YN</formula1>
    </dataValidation>
    <dataValidation type="list" allowBlank="1" showInputMessage="1" showErrorMessage="1" sqref="F1:F42 F43 F44:F53 F54">
      <formula1>Surveyor</formula1>
    </dataValidation>
    <dataValidation type="list" allowBlank="1" showInputMessage="1" showErrorMessage="1" sqref="K1:K42 E1:E42 K43 E43 K44:K53 E44:E53 K54 E54">
      <formula1>Number</formula1>
    </dataValidation>
    <dataValidation type="list" allowBlank="1" showInputMessage="1" showErrorMessage="1" sqref="J1:J42 J43 J44:J53 J54">
      <formula1>Crossing_Type</formula1>
    </dataValidation>
    <dataValidation type="list" allowBlank="1" showInputMessage="1" showErrorMessage="1" sqref="AE1 AE7">
      <formula1>LimitingFactors</formula1>
    </dataValidation>
    <dataValidation type="list" allowBlank="1" showInputMessage="1" showErrorMessage="1" sqref="AE2:AE6 AE8:AE42 AE43 AE44:AE53 AE54">
      <formula1>Limiting_Factor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8"/>
  <sheetViews>
    <sheetView tabSelected="1" workbookViewId="0">
      <selection activeCell="L18" sqref="L18"/>
    </sheetView>
  </sheetViews>
  <sheetFormatPr defaultRowHeight="15" x14ac:dyDescent="0.25"/>
  <cols>
    <col min="1" max="1" width="33.28515625" style="71" bestFit="1" customWidth="1"/>
    <col min="2" max="2" width="49" style="71" customWidth="1"/>
    <col min="3" max="4" width="11.28515625" customWidth="1"/>
    <col min="5" max="12" width="10.28515625" customWidth="1"/>
  </cols>
  <sheetData>
    <row r="1" spans="1:12" s="57" customFormat="1" x14ac:dyDescent="0.25">
      <c r="A1" s="65" t="s">
        <v>44</v>
      </c>
      <c r="B1" s="66" t="s">
        <v>45</v>
      </c>
      <c r="C1" s="54">
        <v>0</v>
      </c>
      <c r="D1" s="55">
        <v>1</v>
      </c>
      <c r="E1" s="55">
        <v>2</v>
      </c>
      <c r="F1" s="55">
        <v>3</v>
      </c>
      <c r="G1" s="56" t="s">
        <v>46</v>
      </c>
      <c r="H1" s="50">
        <v>0</v>
      </c>
      <c r="I1" s="44">
        <v>1</v>
      </c>
      <c r="J1" s="44">
        <v>2</v>
      </c>
      <c r="K1" s="44">
        <v>3</v>
      </c>
      <c r="L1" s="45" t="s">
        <v>46</v>
      </c>
    </row>
    <row r="2" spans="1:12" s="57" customFormat="1" ht="30" x14ac:dyDescent="0.25">
      <c r="A2" s="67" t="s">
        <v>47</v>
      </c>
      <c r="B2" s="68" t="s">
        <v>48</v>
      </c>
      <c r="C2" s="53" t="s">
        <v>121</v>
      </c>
      <c r="D2" s="42">
        <v>3</v>
      </c>
      <c r="E2" s="42">
        <v>2</v>
      </c>
      <c r="F2" s="42">
        <v>1</v>
      </c>
      <c r="G2" s="43">
        <v>15</v>
      </c>
      <c r="H2" s="51">
        <v>3</v>
      </c>
      <c r="I2" s="46">
        <v>3</v>
      </c>
      <c r="J2" s="46">
        <v>2</v>
      </c>
      <c r="K2" s="46">
        <v>1</v>
      </c>
      <c r="L2" s="47">
        <v>15</v>
      </c>
    </row>
    <row r="3" spans="1:12" s="57" customFormat="1" ht="30" x14ac:dyDescent="0.25">
      <c r="A3" s="41" t="s">
        <v>51</v>
      </c>
      <c r="B3" s="68" t="s">
        <v>119</v>
      </c>
      <c r="C3" s="53" t="s">
        <v>52</v>
      </c>
      <c r="D3" s="42" t="s">
        <v>53</v>
      </c>
      <c r="E3" s="42" t="s">
        <v>54</v>
      </c>
      <c r="F3" s="42" t="s">
        <v>55</v>
      </c>
      <c r="G3" s="43">
        <v>60</v>
      </c>
      <c r="H3" s="51">
        <v>1.75</v>
      </c>
      <c r="I3" s="46">
        <v>1.5</v>
      </c>
      <c r="J3" s="46">
        <v>1.1000000000000001</v>
      </c>
      <c r="K3" s="46">
        <v>1.1000000000000001</v>
      </c>
      <c r="L3" s="47">
        <v>60</v>
      </c>
    </row>
    <row r="4" spans="1:12" s="57" customFormat="1" ht="30" x14ac:dyDescent="0.25">
      <c r="A4" s="41" t="s">
        <v>51</v>
      </c>
      <c r="B4" s="68" t="s">
        <v>120</v>
      </c>
      <c r="C4" s="53" t="s">
        <v>52</v>
      </c>
      <c r="D4" s="42" t="s">
        <v>53</v>
      </c>
      <c r="E4" s="42" t="s">
        <v>54</v>
      </c>
      <c r="F4" s="42" t="s">
        <v>55</v>
      </c>
      <c r="G4" s="43">
        <v>60</v>
      </c>
      <c r="H4" s="51">
        <v>0.6</v>
      </c>
      <c r="I4" s="46">
        <v>0.8</v>
      </c>
      <c r="J4" s="46">
        <v>0.9</v>
      </c>
      <c r="K4" s="46">
        <v>0.9</v>
      </c>
      <c r="L4" s="47">
        <v>60</v>
      </c>
    </row>
    <row r="5" spans="1:12" s="57" customFormat="1" x14ac:dyDescent="0.25">
      <c r="A5" s="58" t="s">
        <v>56</v>
      </c>
      <c r="B5" s="68"/>
      <c r="C5" s="53"/>
      <c r="D5" s="42" t="s">
        <v>49</v>
      </c>
      <c r="E5" s="42"/>
      <c r="F5" s="42" t="s">
        <v>50</v>
      </c>
      <c r="G5" s="43">
        <v>10</v>
      </c>
      <c r="H5" s="51"/>
      <c r="I5" s="46" t="s">
        <v>49</v>
      </c>
      <c r="J5" s="46"/>
      <c r="K5" s="46" t="s">
        <v>50</v>
      </c>
      <c r="L5" s="47">
        <v>10</v>
      </c>
    </row>
    <row r="6" spans="1:12" s="57" customFormat="1" ht="30" x14ac:dyDescent="0.25">
      <c r="A6" s="58" t="s">
        <v>57</v>
      </c>
      <c r="B6" s="68" t="s">
        <v>58</v>
      </c>
      <c r="C6" s="53" t="s">
        <v>49</v>
      </c>
      <c r="D6" s="42"/>
      <c r="E6" s="42"/>
      <c r="F6" s="42" t="s">
        <v>50</v>
      </c>
      <c r="G6" s="43">
        <v>25</v>
      </c>
      <c r="H6" s="51" t="s">
        <v>49</v>
      </c>
      <c r="I6" s="46"/>
      <c r="J6" s="46"/>
      <c r="K6" s="46" t="s">
        <v>50</v>
      </c>
      <c r="L6" s="47">
        <v>25</v>
      </c>
    </row>
    <row r="7" spans="1:12" s="57" customFormat="1" x14ac:dyDescent="0.25">
      <c r="A7" s="58" t="s">
        <v>59</v>
      </c>
      <c r="B7" s="68"/>
      <c r="C7" s="53"/>
      <c r="D7" s="42" t="s">
        <v>49</v>
      </c>
      <c r="E7" s="42"/>
      <c r="F7" s="42" t="s">
        <v>50</v>
      </c>
      <c r="G7" s="43">
        <v>10</v>
      </c>
      <c r="H7" s="51"/>
      <c r="I7" s="46" t="s">
        <v>49</v>
      </c>
      <c r="J7" s="46"/>
      <c r="K7" s="46" t="s">
        <v>50</v>
      </c>
      <c r="L7" s="47">
        <v>10</v>
      </c>
    </row>
    <row r="8" spans="1:12" s="57" customFormat="1" ht="30" x14ac:dyDescent="0.25">
      <c r="A8" s="59" t="s">
        <v>60</v>
      </c>
      <c r="B8" s="68" t="s">
        <v>61</v>
      </c>
      <c r="C8" s="53" t="s">
        <v>62</v>
      </c>
      <c r="D8" s="42" t="s">
        <v>63</v>
      </c>
      <c r="E8" s="42" t="s">
        <v>64</v>
      </c>
      <c r="F8" s="42" t="s">
        <v>65</v>
      </c>
      <c r="G8" s="43">
        <v>80</v>
      </c>
      <c r="H8" s="51">
        <v>5000</v>
      </c>
      <c r="I8" s="46">
        <v>5000</v>
      </c>
      <c r="J8" s="46">
        <v>1000</v>
      </c>
      <c r="K8" s="46">
        <v>100</v>
      </c>
      <c r="L8" s="47">
        <v>80</v>
      </c>
    </row>
    <row r="9" spans="1:12" s="57" customFormat="1" x14ac:dyDescent="0.25">
      <c r="A9" s="58" t="s">
        <v>66</v>
      </c>
      <c r="B9" s="68" t="s">
        <v>67</v>
      </c>
      <c r="C9" s="53" t="s">
        <v>68</v>
      </c>
      <c r="D9" s="42" t="s">
        <v>69</v>
      </c>
      <c r="E9" s="42" t="s">
        <v>70</v>
      </c>
      <c r="F9" s="42" t="s">
        <v>71</v>
      </c>
      <c r="G9" s="43">
        <v>30</v>
      </c>
      <c r="H9" s="51">
        <v>8</v>
      </c>
      <c r="I9" s="46">
        <v>15</v>
      </c>
      <c r="J9" s="46">
        <v>25</v>
      </c>
      <c r="K9" s="46">
        <v>25</v>
      </c>
      <c r="L9" s="47">
        <v>30</v>
      </c>
    </row>
    <row r="10" spans="1:12" s="57" customFormat="1" ht="15.75" thickBot="1" x14ac:dyDescent="0.3">
      <c r="A10" s="69" t="s">
        <v>72</v>
      </c>
      <c r="B10" s="70" t="s">
        <v>73</v>
      </c>
      <c r="C10" s="60" t="s">
        <v>39</v>
      </c>
      <c r="D10" s="61" t="s">
        <v>40</v>
      </c>
      <c r="E10" s="61" t="s">
        <v>41</v>
      </c>
      <c r="F10" s="61" t="s">
        <v>42</v>
      </c>
      <c r="G10" s="62">
        <v>50</v>
      </c>
      <c r="H10" s="52" t="s">
        <v>39</v>
      </c>
      <c r="I10" s="48" t="s">
        <v>40</v>
      </c>
      <c r="J10" s="48" t="s">
        <v>41</v>
      </c>
      <c r="K10" s="48" t="s">
        <v>42</v>
      </c>
      <c r="L10" s="49">
        <v>50</v>
      </c>
    </row>
    <row r="12" spans="1:12" x14ac:dyDescent="0.25">
      <c r="A12" s="63" t="s">
        <v>74</v>
      </c>
      <c r="B12" s="64" t="s">
        <v>80</v>
      </c>
      <c r="C12" s="11" t="s">
        <v>81</v>
      </c>
      <c r="D12" s="11" t="s">
        <v>82</v>
      </c>
      <c r="E12" s="11" t="s">
        <v>57</v>
      </c>
      <c r="F12" s="11" t="s">
        <v>83</v>
      </c>
      <c r="G12" s="11" t="s">
        <v>84</v>
      </c>
      <c r="H12" s="11" t="s">
        <v>85</v>
      </c>
      <c r="I12" s="11" t="s">
        <v>86</v>
      </c>
      <c r="J12" s="24" t="s">
        <v>87</v>
      </c>
    </row>
    <row r="13" spans="1:12" x14ac:dyDescent="0.25">
      <c r="A13" t="str">
        <f>AUtrue!C1</f>
        <v>Street1</v>
      </c>
      <c r="B13">
        <f>(IF(AUtrue!K1&gt;$H$2, $H$1, IF(AUtrue!K1=$I$2, $I$1, IF(AUtrue!K1=$J$2, $J$1, IF(AUtrue!K1=$K$2, $K$1, 3)))))*$L$2</f>
        <v>45</v>
      </c>
      <c r="C13">
        <f>IF( OR( AUtrue!AK1&lt;$H$4, AUtrue!AK1&gt;$H$3 ), $H$1, IF( OR( AUtrue!AK1&lt;$I$4, AUtrue!AK1&gt;$I$3 ), $I$1, IF( OR( AUtrue!AK1&lt;$J$4, AUtrue!AK1&gt;$J$3 ), $J$1, IF( OR( AUtrue!AK1&lt;$K$3, AUtrue!AK1&gt;$K$4 ), $K$1)))) * $L$3</f>
        <v>60</v>
      </c>
      <c r="D13">
        <f>(IF(AUtrue!AB1="Y",$I$1, IF(AUtrue!AB1="N",$K$1)))*$L$5</f>
        <v>10</v>
      </c>
      <c r="E13">
        <f>(IF(AUtrue!AF1="Y", $H$1, IF(AUtrue!AF1="N", $K$1)))*$L$6</f>
        <v>75</v>
      </c>
      <c r="F13">
        <f>(IF(AUtrue!AC1="Y", $I$1, IF(AUtrue!AC1="N", $K$1)))*$L$7</f>
        <v>30</v>
      </c>
      <c r="G13">
        <f>(IF(AUtrue!AJ1&lt;$K$8, $K$1, IF(AUtrue!AJ1&lt;$J$8, $J$1, IF(AUtrue!AJ1&lt;$I$8, $I$1, IF(AUtrue!AJ1&gt;=$H$8, $H$1)))))*$L$8</f>
        <v>160</v>
      </c>
      <c r="H13">
        <v>0</v>
      </c>
      <c r="I13">
        <f>(IF(AUtrue!AS1="Poor",$K$1,IF(AUtrue!AS1="Fair",$J$1,IF(AUtrue!AS1="Good",$I$1,IF(AUtrue!AS1="Excellent",$H$1)))))*$L$10</f>
        <v>0</v>
      </c>
      <c r="J13">
        <f>SUM(B13:I13)</f>
        <v>380</v>
      </c>
    </row>
    <row r="14" spans="1:12" x14ac:dyDescent="0.25">
      <c r="A14" t="str">
        <f>AUtrue!C2</f>
        <v>Street10</v>
      </c>
      <c r="B14">
        <f>(IF(AUtrue!K2&gt;$H$2, $H$1, IF(AUtrue!K2=$I$2, $I$1, IF(AUtrue!K2=$J$2, $J$1, IF(AUtrue!K2=$K$2, $K$1, 3)))))*$L$2</f>
        <v>45</v>
      </c>
      <c r="C14">
        <f>IF( OR( AUtrue!AK2&lt;$H$4, AUtrue!AK2&gt;$H$3 ), $H$1, IF( OR( AUtrue!AK2&lt;$I$4, AUtrue!AK2&gt;$I$3 ), $I$1, IF( OR( AUtrue!AK2&lt;$J$4, AUtrue!AK2&gt;$J$3 ), $J$1, IF( OR( AUtrue!AK2&lt;$K$3, AUtrue!AK2&gt;$K$4 ), $K$1)))) * $L$3</f>
        <v>0</v>
      </c>
      <c r="D14">
        <f>(IF(AUtrue!AB2="Y",$I$1, IF(AUtrue!AB2="N",$K$1)))*$L$5</f>
        <v>30</v>
      </c>
      <c r="E14">
        <f>(IF(AUtrue!AF2="Y", $H$1, IF(AUtrue!AF2="N", $K$1)))*$L$6</f>
        <v>0</v>
      </c>
      <c r="F14">
        <f>(IF(AUtrue!AC2="Y", $I$1, IF(AUtrue!AC2="N", $K$1)))*$L$7</f>
        <v>10</v>
      </c>
      <c r="G14">
        <f>(IF(AUtrue!AJ2&lt;$K$8, $K$1, IF(AUtrue!AJ2&lt;$J$8, $J$1, IF(AUtrue!AJ2&lt;$I$8, $I$1, IF(AUtrue!AJ2&gt;=$H$8, $H$1)))))*$L$8</f>
        <v>80</v>
      </c>
      <c r="H14">
        <v>0</v>
      </c>
      <c r="I14">
        <f>(IF(AUtrue!AS2="Poor",$K$1,IF(AUtrue!AS2="Fair",$J$1,IF(AUtrue!AS2="Good",$I$1,IF(AUtrue!AS2="Excellent",$H$1)))))*$L$10</f>
        <v>50</v>
      </c>
      <c r="J14">
        <f t="shared" ref="J14:J66" si="0">SUM(B14:I14)</f>
        <v>215</v>
      </c>
    </row>
    <row r="15" spans="1:12" x14ac:dyDescent="0.25">
      <c r="A15" t="str">
        <f>AUtrue!C3</f>
        <v>Street13</v>
      </c>
      <c r="B15">
        <f>(IF(AUtrue!K3&gt;$H$2, $H$1, IF(AUtrue!K3=$I$2, $I$1, IF(AUtrue!K3=$J$2, $J$1, IF(AUtrue!K3=$K$2, $K$1, 3)))))*$L$2</f>
        <v>45</v>
      </c>
      <c r="C15">
        <f>IF( OR( AUtrue!AK3&lt;$H$4, AUtrue!AK3&gt;$H$3 ), $H$1, IF( OR( AUtrue!AK3&lt;$I$4, AUtrue!AK3&gt;$I$3 ), $I$1, IF( OR( AUtrue!AK3&lt;$J$4, AUtrue!AK3&gt;$J$3 ), $J$1, IF( OR( AUtrue!AK3&lt;$K$3, AUtrue!AK3&gt;$K$4 ), $K$1)))) * $L$3</f>
        <v>0</v>
      </c>
      <c r="D15">
        <f>(IF(AUtrue!AB3="Y",$I$1, IF(AUtrue!AB3="N",$K$1)))*$L$5</f>
        <v>30</v>
      </c>
      <c r="E15">
        <f>(IF(AUtrue!AF3="Y", $H$1, IF(AUtrue!AF3="N", $K$1)))*$L$6</f>
        <v>0</v>
      </c>
      <c r="F15">
        <f>(IF(AUtrue!AC3="Y", $I$1, IF(AUtrue!AC3="N", $K$1)))*$L$7</f>
        <v>30</v>
      </c>
      <c r="G15">
        <f>(IF(AUtrue!AJ3&lt;$K$8, $K$1, IF(AUtrue!AJ3&lt;$J$8, $J$1, IF(AUtrue!AJ3&lt;$I$8, $I$1, IF(AUtrue!AJ3&gt;=$H$8, $H$1)))))*$L$8</f>
        <v>160</v>
      </c>
      <c r="H15">
        <v>0</v>
      </c>
      <c r="I15">
        <f>(IF(AUtrue!AS3="Poor",$K$1,IF(AUtrue!AS3="Fair",$J$1,IF(AUtrue!AS3="Good",$I$1,IF(AUtrue!AS3="Excellent",$H$1)))))*$L$10</f>
        <v>100</v>
      </c>
      <c r="J15">
        <f t="shared" si="0"/>
        <v>365</v>
      </c>
    </row>
    <row r="16" spans="1:12" x14ac:dyDescent="0.25">
      <c r="A16" t="str">
        <f>AUtrue!C4</f>
        <v>Street14</v>
      </c>
      <c r="B16">
        <f>(IF(AUtrue!K4&gt;$H$2, $H$1, IF(AUtrue!K4=$I$2, $I$1, IF(AUtrue!K4=$J$2, $J$1, IF(AUtrue!K4=$K$2, $K$1, 3)))))*$L$2</f>
        <v>45</v>
      </c>
      <c r="C16">
        <f>IF( OR( AUtrue!AK4&lt;$H$4, AUtrue!AK4&gt;$H$3 ), $H$1, IF( OR( AUtrue!AK4&lt;$I$4, AUtrue!AK4&gt;$I$3 ), $I$1, IF( OR( AUtrue!AK4&lt;$J$4, AUtrue!AK4&gt;$J$3 ), $J$1, IF( OR( AUtrue!AK4&lt;$K$3, AUtrue!AK4&gt;$K$4 ), $K$1)))) * $L$3</f>
        <v>0</v>
      </c>
      <c r="D16">
        <f>(IF(AUtrue!AB4="Y",$I$1, IF(AUtrue!AB4="N",$K$1)))*$L$5</f>
        <v>30</v>
      </c>
      <c r="E16">
        <f>(IF(AUtrue!AF4="Y", $H$1, IF(AUtrue!AF4="N", $K$1)))*$L$6</f>
        <v>0</v>
      </c>
      <c r="F16">
        <f>(IF(AUtrue!AC4="Y", $I$1, IF(AUtrue!AC4="N", $K$1)))*$L$7</f>
        <v>10</v>
      </c>
      <c r="G16">
        <f>(IF(AUtrue!AJ4&lt;$K$8, $K$1, IF(AUtrue!AJ4&lt;$J$8, $J$1, IF(AUtrue!AJ4&lt;$I$8, $I$1, IF(AUtrue!AJ4&gt;=$H$8, $H$1)))))*$L$8</f>
        <v>240</v>
      </c>
      <c r="H16">
        <v>0</v>
      </c>
      <c r="I16">
        <f>(IF(AUtrue!AS4="Poor",$K$1,IF(AUtrue!AS4="Fair",$J$1,IF(AUtrue!AS4="Good",$I$1,IF(AUtrue!AS4="Excellent",$H$1)))))*$L$10</f>
        <v>100</v>
      </c>
      <c r="J16">
        <f t="shared" si="0"/>
        <v>425</v>
      </c>
    </row>
    <row r="17" spans="1:10" x14ac:dyDescent="0.25">
      <c r="A17" t="str">
        <f>AUtrue!C5</f>
        <v>Street15</v>
      </c>
      <c r="B17">
        <f>(IF(AUtrue!K5&gt;$H$2, $H$1, IF(AUtrue!K5=$I$2, $I$1, IF(AUtrue!K5=$J$2, $J$1, IF(AUtrue!K5=$K$2, $K$1, 3)))))*$L$2</f>
        <v>30</v>
      </c>
      <c r="C17">
        <f>IF( OR( AUtrue!AK5&lt;$H$4, AUtrue!AK5&gt;$H$3 ), $H$1, IF( OR( AUtrue!AK5&lt;$I$4, AUtrue!AK5&gt;$I$3 ), $I$1, IF( OR( AUtrue!AK5&lt;$J$4, AUtrue!AK5&gt;$J$3 ), $J$1, IF( OR( AUtrue!AK5&lt;$K$3, AUtrue!AK5&gt;$K$4 ), $K$1)))) * $L$3</f>
        <v>0</v>
      </c>
      <c r="D17">
        <f>(IF(AUtrue!AB5="Y",$I$1, IF(AUtrue!AB5="N",$K$1)))*$L$5</f>
        <v>30</v>
      </c>
      <c r="E17">
        <f>(IF(AUtrue!AF5="Y", $H$1, IF(AUtrue!AF5="N", $K$1)))*$L$6</f>
        <v>0</v>
      </c>
      <c r="F17">
        <f>(IF(AUtrue!AC5="Y", $I$1, IF(AUtrue!AC5="N", $K$1)))*$L$7</f>
        <v>30</v>
      </c>
      <c r="G17">
        <f>(IF(AUtrue!AJ5&lt;$K$8, $K$1, IF(AUtrue!AJ5&lt;$J$8, $J$1, IF(AUtrue!AJ5&lt;$I$8, $I$1, IF(AUtrue!AJ5&gt;=$H$8, $H$1)))))*$L$8</f>
        <v>160</v>
      </c>
      <c r="H17">
        <v>0</v>
      </c>
      <c r="I17">
        <f>(IF(AUtrue!AS5="Poor",$K$1,IF(AUtrue!AS5="Fair",$J$1,IF(AUtrue!AS5="Good",$I$1,IF(AUtrue!AS5="Excellent",$H$1)))))*$L$10</f>
        <v>100</v>
      </c>
      <c r="J17">
        <f t="shared" si="0"/>
        <v>350</v>
      </c>
    </row>
    <row r="18" spans="1:10" x14ac:dyDescent="0.25">
      <c r="A18" t="str">
        <f>AUtrue!C6</f>
        <v>Street16</v>
      </c>
      <c r="B18">
        <f>(IF(AUtrue!K6&gt;$H$2, $H$1, IF(AUtrue!K6=$I$2, $I$1, IF(AUtrue!K6=$J$2, $J$1, IF(AUtrue!K6=$K$2, $K$1, 3)))))*$L$2</f>
        <v>30</v>
      </c>
      <c r="C18">
        <f>IF( OR( AUtrue!AK6&lt;$H$4, AUtrue!AK6&gt;$H$3 ), $H$1, IF( OR( AUtrue!AK6&lt;$I$4, AUtrue!AK6&gt;$I$3 ), $I$1, IF( OR( AUtrue!AK6&lt;$J$4, AUtrue!AK6&gt;$J$3 ), $J$1, IF( OR( AUtrue!AK6&lt;$K$3, AUtrue!AK6&gt;$K$4 ), $K$1)))) * $L$3</f>
        <v>0</v>
      </c>
      <c r="D18">
        <f>(IF(AUtrue!AB6="Y",$I$1, IF(AUtrue!AB6="N",$K$1)))*$L$5</f>
        <v>30</v>
      </c>
      <c r="E18">
        <f>(IF(AUtrue!AF6="Y", $H$1, IF(AUtrue!AF6="N", $K$1)))*$L$6</f>
        <v>0</v>
      </c>
      <c r="F18">
        <f>(IF(AUtrue!AC6="Y", $I$1, IF(AUtrue!AC6="N", $K$1)))*$L$7</f>
        <v>30</v>
      </c>
      <c r="G18">
        <f>(IF(AUtrue!AJ6&lt;$K$8, $K$1, IF(AUtrue!AJ6&lt;$J$8, $J$1, IF(AUtrue!AJ6&lt;$I$8, $I$1, IF(AUtrue!AJ6&gt;=$H$8, $H$1)))))*$L$8</f>
        <v>160</v>
      </c>
      <c r="H18">
        <v>0</v>
      </c>
      <c r="I18">
        <f>(IF(AUtrue!AS6="Poor",$K$1,IF(AUtrue!AS6="Fair",$J$1,IF(AUtrue!AS6="Good",$I$1,IF(AUtrue!AS6="Excellent",$H$1)))))*$L$10</f>
        <v>100</v>
      </c>
      <c r="J18">
        <f t="shared" si="0"/>
        <v>350</v>
      </c>
    </row>
    <row r="19" spans="1:10" x14ac:dyDescent="0.25">
      <c r="A19" t="str">
        <f>AUtrue!C7</f>
        <v>Street1</v>
      </c>
      <c r="B19">
        <f>(IF(AUtrue!K7&gt;$H$2, $H$1, IF(AUtrue!K7=$I$2, $I$1, IF(AUtrue!K7=$J$2, $J$1, IF(AUtrue!K7=$K$2, $K$1, 3)))))*$L$2</f>
        <v>45</v>
      </c>
      <c r="C19">
        <f>IF( OR( AUtrue!AK7&lt;$H$4, AUtrue!AK7&gt;$H$3 ), $H$1, IF( OR( AUtrue!AK7&lt;$I$4, AUtrue!AK7&gt;$I$3 ), $I$1, IF( OR( AUtrue!AK7&lt;$J$4, AUtrue!AK7&gt;$J$3 ), $J$1, IF( OR( AUtrue!AK7&lt;$K$3, AUtrue!AK7&gt;$K$4 ), $K$1)))) * $L$3</f>
        <v>60</v>
      </c>
      <c r="D19">
        <f>(IF(AUtrue!AB7="Y",$I$1, IF(AUtrue!AB7="N",$K$1)))*$L$5</f>
        <v>10</v>
      </c>
      <c r="E19">
        <f>(IF(AUtrue!AF7="Y", $H$1, IF(AUtrue!AF7="N", $K$1)))*$L$6</f>
        <v>75</v>
      </c>
      <c r="F19">
        <f>(IF(AUtrue!AC7="Y", $I$1, IF(AUtrue!AC7="N", $K$1)))*$L$7</f>
        <v>30</v>
      </c>
      <c r="G19">
        <f>(IF(AUtrue!AJ7&lt;$K$8, $K$1, IF(AUtrue!AJ7&lt;$J$8, $J$1, IF(AUtrue!AJ7&lt;$I$8, $I$1, IF(AUtrue!AJ7&gt;=$H$8, $H$1)))))*$L$8</f>
        <v>160</v>
      </c>
      <c r="H19">
        <v>0</v>
      </c>
      <c r="I19">
        <f>(IF(AUtrue!AS7="Poor",$K$1,IF(AUtrue!AS7="Fair",$J$1,IF(AUtrue!AS7="Good",$I$1,IF(AUtrue!AS7="Excellent",$H$1)))))*$L$10</f>
        <v>0</v>
      </c>
      <c r="J19">
        <f t="shared" si="0"/>
        <v>380</v>
      </c>
    </row>
    <row r="20" spans="1:10" x14ac:dyDescent="0.25">
      <c r="A20" t="str">
        <f>AUtrue!C8</f>
        <v>Street19</v>
      </c>
      <c r="B20">
        <f>(IF(AUtrue!K8&gt;$H$2, $H$1, IF(AUtrue!K8=$I$2, $I$1, IF(AUtrue!K8=$J$2, $J$1, IF(AUtrue!K8=$K$2, $K$1, 3)))))*$L$2</f>
        <v>30</v>
      </c>
      <c r="C20">
        <f>IF( OR( AUtrue!AK8&lt;$H$4, AUtrue!AK8&gt;$H$3 ), $H$1, IF( OR( AUtrue!AK8&lt;$I$4, AUtrue!AK8&gt;$I$3 ), $I$1, IF( OR( AUtrue!AK8&lt;$J$4, AUtrue!AK8&gt;$J$3 ), $J$1, IF( OR( AUtrue!AK8&lt;$K$3, AUtrue!AK8&gt;$K$4 ), $K$1)))) * $L$3</f>
        <v>60</v>
      </c>
      <c r="D20">
        <f>(IF(AUtrue!AB8="Y",$I$1, IF(AUtrue!AB8="N",$K$1)))*$L$5</f>
        <v>30</v>
      </c>
      <c r="E20">
        <f>(IF(AUtrue!AF8="Y", $H$1, IF(AUtrue!AF8="N", $K$1)))*$L$6</f>
        <v>0</v>
      </c>
      <c r="F20">
        <f>(IF(AUtrue!AC8="Y", $I$1, IF(AUtrue!AC8="N", $K$1)))*$L$7</f>
        <v>30</v>
      </c>
      <c r="G20">
        <f>(IF(AUtrue!AJ8&lt;$K$8, $K$1, IF(AUtrue!AJ8&lt;$J$8, $J$1, IF(AUtrue!AJ8&lt;$I$8, $I$1, IF(AUtrue!AJ8&gt;=$H$8, $H$1)))))*$L$8</f>
        <v>80</v>
      </c>
      <c r="H20">
        <v>0</v>
      </c>
      <c r="I20">
        <f>(IF(AUtrue!AS8="Poor",$K$1,IF(AUtrue!AS8="Fair",$J$1,IF(AUtrue!AS8="Good",$I$1,IF(AUtrue!AS8="Excellent",$H$1)))))*$L$10</f>
        <v>100</v>
      </c>
      <c r="J20">
        <f t="shared" si="0"/>
        <v>330</v>
      </c>
    </row>
    <row r="21" spans="1:10" x14ac:dyDescent="0.25">
      <c r="A21" t="str">
        <f>AUtrue!C9</f>
        <v>Street21</v>
      </c>
      <c r="B21">
        <f>(IF(AUtrue!K9&gt;$H$2, $H$1, IF(AUtrue!K9=$I$2, $I$1, IF(AUtrue!K9=$J$2, $J$1, IF(AUtrue!K9=$K$2, $K$1, 3)))))*$L$2</f>
        <v>30</v>
      </c>
      <c r="C21">
        <f>IF( OR( AUtrue!AK9&lt;$H$4, AUtrue!AK9&gt;$H$3 ), $H$1, IF( OR( AUtrue!AK9&lt;$I$4, AUtrue!AK9&gt;$I$3 ), $I$1, IF( OR( AUtrue!AK9&lt;$J$4, AUtrue!AK9&gt;$J$3 ), $J$1, IF( OR( AUtrue!AK9&lt;$K$3, AUtrue!AK9&gt;$K$4 ), $K$1)))) * $L$3</f>
        <v>60</v>
      </c>
      <c r="D21">
        <f>(IF(AUtrue!AB9="Y",$I$1, IF(AUtrue!AB9="N",$K$1)))*$L$5</f>
        <v>10</v>
      </c>
      <c r="E21">
        <f>(IF(AUtrue!AF9="Y", $H$1, IF(AUtrue!AF9="N", $K$1)))*$L$6</f>
        <v>75</v>
      </c>
      <c r="F21">
        <f>(IF(AUtrue!AC9="Y", $I$1, IF(AUtrue!AC9="N", $K$1)))*$L$7</f>
        <v>30</v>
      </c>
      <c r="G21">
        <f>(IF(AUtrue!AJ9&lt;$K$8, $K$1, IF(AUtrue!AJ9&lt;$J$8, $J$1, IF(AUtrue!AJ9&lt;$I$8, $I$1, IF(AUtrue!AJ9&gt;=$H$8, $H$1)))))*$L$8</f>
        <v>80</v>
      </c>
      <c r="H21">
        <v>0</v>
      </c>
      <c r="I21">
        <f>(IF(AUtrue!AS9="Poor",$K$1,IF(AUtrue!AS9="Fair",$J$1,IF(AUtrue!AS9="Good",$I$1,IF(AUtrue!AS9="Excellent",$H$1)))))*$L$10</f>
        <v>100</v>
      </c>
      <c r="J21">
        <f t="shared" si="0"/>
        <v>385</v>
      </c>
    </row>
    <row r="22" spans="1:10" x14ac:dyDescent="0.25">
      <c r="A22" t="str">
        <f>AUtrue!C10</f>
        <v>Street22</v>
      </c>
      <c r="B22">
        <f>(IF(AUtrue!K10&gt;$H$2, $H$1, IF(AUtrue!K10=$I$2, $I$1, IF(AUtrue!K10=$J$2, $J$1, IF(AUtrue!K10=$K$2, $K$1, 3)))))*$L$2</f>
        <v>30</v>
      </c>
      <c r="C22">
        <f>IF( OR( AUtrue!AK10&lt;$H$4, AUtrue!AK10&gt;$H$3 ), $H$1, IF( OR( AUtrue!AK10&lt;$I$4, AUtrue!AK10&gt;$I$3 ), $I$1, IF( OR( AUtrue!AK10&lt;$J$4, AUtrue!AK10&gt;$J$3 ), $J$1, IF( OR( AUtrue!AK10&lt;$K$3, AUtrue!AK10&gt;$K$4 ), $K$1)))) * $L$3</f>
        <v>60</v>
      </c>
      <c r="D22">
        <f>(IF(AUtrue!AB10="Y",$I$1, IF(AUtrue!AB10="N",$K$1)))*$L$5</f>
        <v>10</v>
      </c>
      <c r="E22">
        <f>(IF(AUtrue!AF10="Y", $H$1, IF(AUtrue!AF10="N", $K$1)))*$L$6</f>
        <v>75</v>
      </c>
      <c r="F22">
        <f>(IF(AUtrue!AC10="Y", $I$1, IF(AUtrue!AC10="N", $K$1)))*$L$7</f>
        <v>30</v>
      </c>
      <c r="G22">
        <f>(IF(AUtrue!AJ10&lt;$K$8, $K$1, IF(AUtrue!AJ10&lt;$J$8, $J$1, IF(AUtrue!AJ10&lt;$I$8, $I$1, IF(AUtrue!AJ10&gt;=$H$8, $H$1)))))*$L$8</f>
        <v>80</v>
      </c>
      <c r="H22">
        <v>0</v>
      </c>
      <c r="I22">
        <f>(IF(AUtrue!AS10="Poor",$K$1,IF(AUtrue!AS10="Fair",$J$1,IF(AUtrue!AS10="Good",$I$1,IF(AUtrue!AS10="Excellent",$H$1)))))*$L$10</f>
        <v>100</v>
      </c>
      <c r="J22">
        <f t="shared" si="0"/>
        <v>385</v>
      </c>
    </row>
    <row r="23" spans="1:10" x14ac:dyDescent="0.25">
      <c r="A23" t="str">
        <f>AUtrue!C11</f>
        <v>Street23</v>
      </c>
      <c r="B23">
        <f>(IF(AUtrue!K11&gt;$H$2, $H$1, IF(AUtrue!K11=$I$2, $I$1, IF(AUtrue!K11=$J$2, $J$1, IF(AUtrue!K11=$K$2, $K$1, 3)))))*$L$2</f>
        <v>15</v>
      </c>
      <c r="C23">
        <f>IF( OR( AUtrue!AK11&lt;$H$4, AUtrue!AK11&gt;$H$3 ), $H$1, IF( OR( AUtrue!AK11&lt;$I$4, AUtrue!AK11&gt;$I$3 ), $I$1, IF( OR( AUtrue!AK11&lt;$J$4, AUtrue!AK11&gt;$J$3 ), $J$1, IF( OR( AUtrue!AK11&lt;$K$3, AUtrue!AK11&gt;$K$4 ), $K$1)))) * $L$3</f>
        <v>120</v>
      </c>
      <c r="D23">
        <f>(IF(AUtrue!AB11="Y",$I$1, IF(AUtrue!AB11="N",$K$1)))*$L$5</f>
        <v>10</v>
      </c>
      <c r="E23">
        <f>(IF(AUtrue!AF11="Y", $H$1, IF(AUtrue!AF11="N", $K$1)))*$L$6</f>
        <v>0</v>
      </c>
      <c r="F23">
        <f>(IF(AUtrue!AC11="Y", $I$1, IF(AUtrue!AC11="N", $K$1)))*$L$7</f>
        <v>30</v>
      </c>
      <c r="G23">
        <f>(IF(AUtrue!AJ11&lt;$K$8, $K$1, IF(AUtrue!AJ11&lt;$J$8, $J$1, IF(AUtrue!AJ11&lt;$I$8, $I$1, IF(AUtrue!AJ11&gt;=$H$8, $H$1)))))*$L$8</f>
        <v>80</v>
      </c>
      <c r="H23">
        <v>0</v>
      </c>
      <c r="I23">
        <f>(IF(AUtrue!AS11="Poor",$K$1,IF(AUtrue!AS11="Fair",$J$1,IF(AUtrue!AS11="Good",$I$1,IF(AUtrue!AS11="Excellent",$H$1)))))*$L$10</f>
        <v>150</v>
      </c>
      <c r="J23">
        <f t="shared" si="0"/>
        <v>405</v>
      </c>
    </row>
    <row r="24" spans="1:10" x14ac:dyDescent="0.25">
      <c r="A24" t="str">
        <f>AUtrue!C12</f>
        <v>Street24</v>
      </c>
      <c r="B24">
        <f>(IF(AUtrue!K12&gt;$H$2, $H$1, IF(AUtrue!K12=$I$2, $I$1, IF(AUtrue!K12=$J$2, $J$1, IF(AUtrue!K12=$K$2, $K$1, 3)))))*$L$2</f>
        <v>15</v>
      </c>
      <c r="C24">
        <f>IF( OR( AUtrue!AK12&lt;$H$4, AUtrue!AK12&gt;$H$3 ), $H$1, IF( OR( AUtrue!AK12&lt;$I$4, AUtrue!AK12&gt;$I$3 ), $I$1, IF( OR( AUtrue!AK12&lt;$J$4, AUtrue!AK12&gt;$J$3 ), $J$1, IF( OR( AUtrue!AK12&lt;$K$3, AUtrue!AK12&gt;$K$4 ), $K$1)))) * $L$3</f>
        <v>120</v>
      </c>
      <c r="D24">
        <f>(IF(AUtrue!AB12="Y",$I$1, IF(AUtrue!AB12="N",$K$1)))*$L$5</f>
        <v>10</v>
      </c>
      <c r="E24">
        <f>(IF(AUtrue!AF12="Y", $H$1, IF(AUtrue!AF12="N", $K$1)))*$L$6</f>
        <v>0</v>
      </c>
      <c r="F24">
        <f>(IF(AUtrue!AC12="Y", $I$1, IF(AUtrue!AC12="N", $K$1)))*$L$7</f>
        <v>30</v>
      </c>
      <c r="G24">
        <f>(IF(AUtrue!AJ12&lt;$K$8, $K$1, IF(AUtrue!AJ12&lt;$J$8, $J$1, IF(AUtrue!AJ12&lt;$I$8, $I$1, IF(AUtrue!AJ12&gt;=$H$8, $H$1)))))*$L$8</f>
        <v>80</v>
      </c>
      <c r="H24">
        <v>0</v>
      </c>
      <c r="I24">
        <f>(IF(AUtrue!AS12="Poor",$K$1,IF(AUtrue!AS12="Fair",$J$1,IF(AUtrue!AS12="Good",$I$1,IF(AUtrue!AS12="Excellent",$H$1)))))*$L$10</f>
        <v>150</v>
      </c>
      <c r="J24">
        <f t="shared" si="0"/>
        <v>405</v>
      </c>
    </row>
    <row r="25" spans="1:10" x14ac:dyDescent="0.25">
      <c r="A25" t="str">
        <f>AUtrue!C13</f>
        <v>Street25</v>
      </c>
      <c r="B25">
        <f>(IF(AUtrue!K13&gt;$H$2, $H$1, IF(AUtrue!K13=$I$2, $I$1, IF(AUtrue!K13=$J$2, $J$1, IF(AUtrue!K13=$K$2, $K$1, 3)))))*$L$2</f>
        <v>15</v>
      </c>
      <c r="C25">
        <f>IF( OR( AUtrue!AK13&lt;$H$4, AUtrue!AK13&gt;$H$3 ), $H$1, IF( OR( AUtrue!AK13&lt;$I$4, AUtrue!AK13&gt;$I$3 ), $I$1, IF( OR( AUtrue!AK13&lt;$J$4, AUtrue!AK13&gt;$J$3 ), $J$1, IF( OR( AUtrue!AK13&lt;$K$3, AUtrue!AK13&gt;$K$4 ), $K$1)))) * $L$3</f>
        <v>120</v>
      </c>
      <c r="D25">
        <f>(IF(AUtrue!AB13="Y",$I$1, IF(AUtrue!AB13="N",$K$1)))*$L$5</f>
        <v>10</v>
      </c>
      <c r="E25">
        <f>(IF(AUtrue!AF13="Y", $H$1, IF(AUtrue!AF13="N", $K$1)))*$L$6</f>
        <v>0</v>
      </c>
      <c r="F25">
        <f>(IF(AUtrue!AC13="Y", $I$1, IF(AUtrue!AC13="N", $K$1)))*$L$7</f>
        <v>30</v>
      </c>
      <c r="G25">
        <f>(IF(AUtrue!AJ13&lt;$K$8, $K$1, IF(AUtrue!AJ13&lt;$J$8, $J$1, IF(AUtrue!AJ13&lt;$I$8, $I$1, IF(AUtrue!AJ13&gt;=$H$8, $H$1)))))*$L$8</f>
        <v>80</v>
      </c>
      <c r="H25">
        <v>0</v>
      </c>
      <c r="I25">
        <f>(IF(AUtrue!AS13="Poor",$K$1,IF(AUtrue!AS13="Fair",$J$1,IF(AUtrue!AS13="Good",$I$1,IF(AUtrue!AS13="Excellent",$H$1)))))*$L$10</f>
        <v>150</v>
      </c>
      <c r="J25">
        <f t="shared" si="0"/>
        <v>405</v>
      </c>
    </row>
    <row r="26" spans="1:10" x14ac:dyDescent="0.25">
      <c r="A26" t="str">
        <f>AUtrue!C14</f>
        <v>Street28</v>
      </c>
      <c r="B26">
        <f>(IF(AUtrue!K14&gt;$H$2, $H$1, IF(AUtrue!K14=$I$2, $I$1, IF(AUtrue!K14=$J$2, $J$1, IF(AUtrue!K14=$K$2, $K$1, 3)))))*$L$2</f>
        <v>45</v>
      </c>
      <c r="C26">
        <f>IF( OR( AUtrue!AK14&lt;$H$4, AUtrue!AK14&gt;$H$3 ), $H$1, IF( OR( AUtrue!AK14&lt;$I$4, AUtrue!AK14&gt;$I$3 ), $I$1, IF( OR( AUtrue!AK14&lt;$J$4, AUtrue!AK14&gt;$J$3 ), $J$1, IF( OR( AUtrue!AK14&lt;$K$3, AUtrue!AK14&gt;$K$4 ), $K$1)))) * $L$3</f>
        <v>0</v>
      </c>
      <c r="D26">
        <f>(IF(AUtrue!AB14="Y",$I$1, IF(AUtrue!AB14="N",$K$1)))*$L$5</f>
        <v>10</v>
      </c>
      <c r="E26">
        <f>(IF(AUtrue!AF14="Y", $H$1, IF(AUtrue!AF14="N", $K$1)))*$L$6</f>
        <v>0</v>
      </c>
      <c r="F26">
        <f>(IF(AUtrue!AC14="Y", $I$1, IF(AUtrue!AC14="N", $K$1)))*$L$7</f>
        <v>30</v>
      </c>
      <c r="G26">
        <f>(IF(AUtrue!AJ14&lt;$K$8, $K$1, IF(AUtrue!AJ14&lt;$J$8, $J$1, IF(AUtrue!AJ14&lt;$I$8, $I$1, IF(AUtrue!AJ14&gt;=$H$8, $H$1)))))*$L$8</f>
        <v>80</v>
      </c>
      <c r="H26">
        <v>0</v>
      </c>
      <c r="I26">
        <f>(IF(AUtrue!AS14="Poor",$K$1,IF(AUtrue!AS14="Fair",$J$1,IF(AUtrue!AS14="Good",$I$1,IF(AUtrue!AS14="Excellent",$H$1)))))*$L$10</f>
        <v>150</v>
      </c>
      <c r="J26">
        <f t="shared" si="0"/>
        <v>315</v>
      </c>
    </row>
    <row r="27" spans="1:10" x14ac:dyDescent="0.25">
      <c r="A27" t="str">
        <f>AUtrue!C15</f>
        <v>Street29</v>
      </c>
      <c r="B27">
        <f>(IF(AUtrue!K15&gt;$H$2, $H$1, IF(AUtrue!K15=$I$2, $I$1, IF(AUtrue!K15=$J$2, $J$1, IF(AUtrue!K15=$K$2, $K$1, 3)))))*$L$2</f>
        <v>45</v>
      </c>
      <c r="C27">
        <f>IF( OR( AUtrue!AK15&lt;$H$4, AUtrue!AK15&gt;$H$3 ), $H$1, IF( OR( AUtrue!AK15&lt;$I$4, AUtrue!AK15&gt;$I$3 ), $I$1, IF( OR( AUtrue!AK15&lt;$J$4, AUtrue!AK15&gt;$J$3 ), $J$1, IF( OR( AUtrue!AK15&lt;$K$3, AUtrue!AK15&gt;$K$4 ), $K$1)))) * $L$3</f>
        <v>60</v>
      </c>
      <c r="D27">
        <f>(IF(AUtrue!AB15="Y",$I$1, IF(AUtrue!AB15="N",$K$1)))*$L$5</f>
        <v>30</v>
      </c>
      <c r="E27">
        <f>(IF(AUtrue!AF15="Y", $H$1, IF(AUtrue!AF15="N", $K$1)))*$L$6</f>
        <v>0</v>
      </c>
      <c r="F27">
        <f>(IF(AUtrue!AC15="Y", $I$1, IF(AUtrue!AC15="N", $K$1)))*$L$7</f>
        <v>30</v>
      </c>
      <c r="G27">
        <f>(IF(AUtrue!AJ15&lt;$K$8, $K$1, IF(AUtrue!AJ15&lt;$J$8, $J$1, IF(AUtrue!AJ15&lt;$I$8, $I$1, IF(AUtrue!AJ15&gt;=$H$8, $H$1)))))*$L$8</f>
        <v>80</v>
      </c>
      <c r="H27">
        <v>0</v>
      </c>
      <c r="I27">
        <f>(IF(AUtrue!AS15="Poor",$K$1,IF(AUtrue!AS15="Fair",$J$1,IF(AUtrue!AS15="Good",$I$1,IF(AUtrue!AS15="Excellent",$H$1)))))*$L$10</f>
        <v>150</v>
      </c>
      <c r="J27">
        <f t="shared" si="0"/>
        <v>395</v>
      </c>
    </row>
    <row r="28" spans="1:10" x14ac:dyDescent="0.25">
      <c r="A28" t="str">
        <f>AUtrue!C16</f>
        <v>Street10</v>
      </c>
      <c r="B28">
        <f>(IF(AUtrue!K16&gt;$H$2, $H$1, IF(AUtrue!K16=$I$2, $I$1, IF(AUtrue!K16=$J$2, $J$1, IF(AUtrue!K16=$K$2, $K$1, 3)))))*$L$2</f>
        <v>45</v>
      </c>
      <c r="C28">
        <f>IF( OR( AUtrue!AK16&lt;$H$4, AUtrue!AK16&gt;$H$3 ), $H$1, IF( OR( AUtrue!AK16&lt;$I$4, AUtrue!AK16&gt;$I$3 ), $I$1, IF( OR( AUtrue!AK16&lt;$J$4, AUtrue!AK16&gt;$J$3 ), $J$1, IF( OR( AUtrue!AK16&lt;$K$3, AUtrue!AK16&gt;$K$4 ), $K$1)))) * $L$3</f>
        <v>0</v>
      </c>
      <c r="D28">
        <f>(IF(AUtrue!AB16="Y",$I$1, IF(AUtrue!AB16="N",$K$1)))*$L$5</f>
        <v>30</v>
      </c>
      <c r="E28">
        <f>(IF(AUtrue!AF16="Y", $H$1, IF(AUtrue!AF16="N", $K$1)))*$L$6</f>
        <v>0</v>
      </c>
      <c r="F28">
        <f>(IF(AUtrue!AC16="Y", $I$1, IF(AUtrue!AC16="N", $K$1)))*$L$7</f>
        <v>10</v>
      </c>
      <c r="G28">
        <f>(IF(AUtrue!AJ16&lt;$K$8, $K$1, IF(AUtrue!AJ16&lt;$J$8, $J$1, IF(AUtrue!AJ16&lt;$I$8, $I$1, IF(AUtrue!AJ16&gt;=$H$8, $H$1)))))*$L$8</f>
        <v>80</v>
      </c>
      <c r="H28">
        <v>0</v>
      </c>
      <c r="I28">
        <f>(IF(AUtrue!AS16="Poor",$K$1,IF(AUtrue!AS16="Fair",$J$1,IF(AUtrue!AS16="Good",$I$1,IF(AUtrue!AS16="Excellent",$H$1)))))*$L$10</f>
        <v>50</v>
      </c>
      <c r="J28">
        <f t="shared" si="0"/>
        <v>215</v>
      </c>
    </row>
    <row r="29" spans="1:10" x14ac:dyDescent="0.25">
      <c r="A29" t="str">
        <f>AUtrue!C17</f>
        <v>Street31</v>
      </c>
      <c r="B29">
        <f>(IF(AUtrue!K17&gt;$H$2, $H$1, IF(AUtrue!K17=$I$2, $I$1, IF(AUtrue!K17=$J$2, $J$1, IF(AUtrue!K17=$K$2, $K$1, 3)))))*$L$2</f>
        <v>30</v>
      </c>
      <c r="C29">
        <f>IF( OR( AUtrue!AK17&lt;$H$4, AUtrue!AK17&gt;$H$3 ), $H$1, IF( OR( AUtrue!AK17&lt;$I$4, AUtrue!AK17&gt;$I$3 ), $I$1, IF( OR( AUtrue!AK17&lt;$J$4, AUtrue!AK17&gt;$J$3 ), $J$1, IF( OR( AUtrue!AK17&lt;$K$3, AUtrue!AK17&gt;$K$4 ), $K$1)))) * $L$3</f>
        <v>180</v>
      </c>
      <c r="D29">
        <f>(IF(AUtrue!AB17="Y",$I$1, IF(AUtrue!AB17="N",$K$1)))*$L$5</f>
        <v>30</v>
      </c>
      <c r="E29">
        <f>(IF(AUtrue!AF17="Y", $H$1, IF(AUtrue!AF17="N", $K$1)))*$L$6</f>
        <v>0</v>
      </c>
      <c r="F29">
        <f>(IF(AUtrue!AC17="Y", $I$1, IF(AUtrue!AC17="N", $K$1)))*$L$7</f>
        <v>10</v>
      </c>
      <c r="G29">
        <f>(IF(AUtrue!AJ17&lt;$K$8, $K$1, IF(AUtrue!AJ17&lt;$J$8, $J$1, IF(AUtrue!AJ17&lt;$I$8, $I$1, IF(AUtrue!AJ17&gt;=$H$8, $H$1)))))*$L$8</f>
        <v>80</v>
      </c>
      <c r="H29">
        <v>0</v>
      </c>
      <c r="I29">
        <f>(IF(AUtrue!AS17="Poor",$K$1,IF(AUtrue!AS17="Fair",$J$1,IF(AUtrue!AS17="Good",$I$1,IF(AUtrue!AS17="Excellent",$H$1)))))*$L$10</f>
        <v>150</v>
      </c>
      <c r="J29">
        <f t="shared" si="0"/>
        <v>480</v>
      </c>
    </row>
    <row r="30" spans="1:10" x14ac:dyDescent="0.25">
      <c r="A30" t="str">
        <f>AUtrue!C18</f>
        <v>Street32</v>
      </c>
      <c r="B30">
        <f>(IF(AUtrue!K18&gt;$H$2, $H$1, IF(AUtrue!K18=$I$2, $I$1, IF(AUtrue!K18=$J$2, $J$1, IF(AUtrue!K18=$K$2, $K$1, 3)))))*$L$2</f>
        <v>30</v>
      </c>
      <c r="C30">
        <f>IF( OR( AUtrue!AK18&lt;$H$4, AUtrue!AK18&gt;$H$3 ), $H$1, IF( OR( AUtrue!AK18&lt;$I$4, AUtrue!AK18&gt;$I$3 ), $I$1, IF( OR( AUtrue!AK18&lt;$J$4, AUtrue!AK18&gt;$J$3 ), $J$1, IF( OR( AUtrue!AK18&lt;$K$3, AUtrue!AK18&gt;$K$4 ), $K$1)))) * $L$3</f>
        <v>0</v>
      </c>
      <c r="D30">
        <f>(IF(AUtrue!AB18="Y",$I$1, IF(AUtrue!AB18="N",$K$1)))*$L$5</f>
        <v>30</v>
      </c>
      <c r="E30">
        <f>(IF(AUtrue!AF18="Y", $H$1, IF(AUtrue!AF18="N", $K$1)))*$L$6</f>
        <v>75</v>
      </c>
      <c r="F30">
        <f>(IF(AUtrue!AC18="Y", $I$1, IF(AUtrue!AC18="N", $K$1)))*$L$7</f>
        <v>30</v>
      </c>
      <c r="G30">
        <f>(IF(AUtrue!AJ18&lt;$K$8, $K$1, IF(AUtrue!AJ18&lt;$J$8, $J$1, IF(AUtrue!AJ18&lt;$I$8, $I$1, IF(AUtrue!AJ18&gt;=$H$8, $H$1)))))*$L$8</f>
        <v>80</v>
      </c>
      <c r="H30">
        <v>0</v>
      </c>
      <c r="I30">
        <f>(IF(AUtrue!AS18="Poor",$K$1,IF(AUtrue!AS18="Fair",$J$1,IF(AUtrue!AS18="Good",$I$1,IF(AUtrue!AS18="Excellent",$H$1)))))*$L$10</f>
        <v>100</v>
      </c>
      <c r="J30">
        <f t="shared" si="0"/>
        <v>345</v>
      </c>
    </row>
    <row r="31" spans="1:10" x14ac:dyDescent="0.25">
      <c r="A31" t="str">
        <f>AUtrue!C19</f>
        <v>Street13</v>
      </c>
      <c r="B31">
        <f>(IF(AUtrue!K19&gt;$H$2, $H$1, IF(AUtrue!K19=$I$2, $I$1, IF(AUtrue!K19=$J$2, $J$1, IF(AUtrue!K19=$K$2, $K$1, 3)))))*$L$2</f>
        <v>45</v>
      </c>
      <c r="C31">
        <f>IF( OR( AUtrue!AK19&lt;$H$4, AUtrue!AK19&gt;$H$3 ), $H$1, IF( OR( AUtrue!AK19&lt;$I$4, AUtrue!AK19&gt;$I$3 ), $I$1, IF( OR( AUtrue!AK19&lt;$J$4, AUtrue!AK19&gt;$J$3 ), $J$1, IF( OR( AUtrue!AK19&lt;$K$3, AUtrue!AK19&gt;$K$4 ), $K$1)))) * $L$3</f>
        <v>0</v>
      </c>
      <c r="D31">
        <f>(IF(AUtrue!AB19="Y",$I$1, IF(AUtrue!AB19="N",$K$1)))*$L$5</f>
        <v>30</v>
      </c>
      <c r="E31">
        <f>(IF(AUtrue!AF19="Y", $H$1, IF(AUtrue!AF19="N", $K$1)))*$L$6</f>
        <v>0</v>
      </c>
      <c r="F31">
        <f>(IF(AUtrue!AC19="Y", $I$1, IF(AUtrue!AC19="N", $K$1)))*$L$7</f>
        <v>30</v>
      </c>
      <c r="G31">
        <f>(IF(AUtrue!AJ19&lt;$K$8, $K$1, IF(AUtrue!AJ19&lt;$J$8, $J$1, IF(AUtrue!AJ19&lt;$I$8, $I$1, IF(AUtrue!AJ19&gt;=$H$8, $H$1)))))*$L$8</f>
        <v>160</v>
      </c>
      <c r="H31">
        <v>0</v>
      </c>
      <c r="I31">
        <f>(IF(AUtrue!AS19="Poor",$K$1,IF(AUtrue!AS19="Fair",$J$1,IF(AUtrue!AS19="Good",$I$1,IF(AUtrue!AS19="Excellent",$H$1)))))*$L$10</f>
        <v>100</v>
      </c>
      <c r="J31">
        <f t="shared" si="0"/>
        <v>365</v>
      </c>
    </row>
    <row r="32" spans="1:10" x14ac:dyDescent="0.25">
      <c r="A32" t="str">
        <f>AUtrue!C20</f>
        <v>Street14</v>
      </c>
      <c r="B32">
        <f>(IF(AUtrue!K20&gt;$H$2, $H$1, IF(AUtrue!K20=$I$2, $I$1, IF(AUtrue!K20=$J$2, $J$1, IF(AUtrue!K20=$K$2, $K$1, 3)))))*$L$2</f>
        <v>45</v>
      </c>
      <c r="C32">
        <f>IF( OR( AUtrue!AK20&lt;$H$4, AUtrue!AK20&gt;$H$3 ), $H$1, IF( OR( AUtrue!AK20&lt;$I$4, AUtrue!AK20&gt;$I$3 ), $I$1, IF( OR( AUtrue!AK20&lt;$J$4, AUtrue!AK20&gt;$J$3 ), $J$1, IF( OR( AUtrue!AK20&lt;$K$3, AUtrue!AK20&gt;$K$4 ), $K$1)))) * $L$3</f>
        <v>0</v>
      </c>
      <c r="D32">
        <f>(IF(AUtrue!AB20="Y",$I$1, IF(AUtrue!AB20="N",$K$1)))*$L$5</f>
        <v>30</v>
      </c>
      <c r="E32">
        <f>(IF(AUtrue!AF20="Y", $H$1, IF(AUtrue!AF20="N", $K$1)))*$L$6</f>
        <v>0</v>
      </c>
      <c r="F32">
        <f>(IF(AUtrue!AC20="Y", $I$1, IF(AUtrue!AC20="N", $K$1)))*$L$7</f>
        <v>10</v>
      </c>
      <c r="G32">
        <f>(IF(AUtrue!AJ20&lt;$K$8, $K$1, IF(AUtrue!AJ20&lt;$J$8, $J$1, IF(AUtrue!AJ20&lt;$I$8, $I$1, IF(AUtrue!AJ20&gt;=$H$8, $H$1)))))*$L$8</f>
        <v>240</v>
      </c>
      <c r="H32">
        <v>0</v>
      </c>
      <c r="I32">
        <f>(IF(AUtrue!AS20="Poor",$K$1,IF(AUtrue!AS20="Fair",$J$1,IF(AUtrue!AS20="Good",$I$1,IF(AUtrue!AS20="Excellent",$H$1)))))*$L$10</f>
        <v>100</v>
      </c>
      <c r="J32">
        <f t="shared" si="0"/>
        <v>425</v>
      </c>
    </row>
    <row r="33" spans="1:10" x14ac:dyDescent="0.25">
      <c r="A33" t="str">
        <f>AUtrue!C21</f>
        <v>Street15</v>
      </c>
      <c r="B33">
        <f>(IF(AUtrue!K21&gt;$H$2, $H$1, IF(AUtrue!K21=$I$2, $I$1, IF(AUtrue!K21=$J$2, $J$1, IF(AUtrue!K21=$K$2, $K$1, 3)))))*$L$2</f>
        <v>30</v>
      </c>
      <c r="C33">
        <f>IF( OR( AUtrue!AK21&lt;$H$4, AUtrue!AK21&gt;$H$3 ), $H$1, IF( OR( AUtrue!AK21&lt;$I$4, AUtrue!AK21&gt;$I$3 ), $I$1, IF( OR( AUtrue!AK21&lt;$J$4, AUtrue!AK21&gt;$J$3 ), $J$1, IF( OR( AUtrue!AK21&lt;$K$3, AUtrue!AK21&gt;$K$4 ), $K$1)))) * $L$3</f>
        <v>0</v>
      </c>
      <c r="D33">
        <f>(IF(AUtrue!AB21="Y",$I$1, IF(AUtrue!AB21="N",$K$1)))*$L$5</f>
        <v>30</v>
      </c>
      <c r="E33">
        <f>(IF(AUtrue!AF21="Y", $H$1, IF(AUtrue!AF21="N", $K$1)))*$L$6</f>
        <v>0</v>
      </c>
      <c r="F33">
        <f>(IF(AUtrue!AC21="Y", $I$1, IF(AUtrue!AC21="N", $K$1)))*$L$7</f>
        <v>30</v>
      </c>
      <c r="G33">
        <f>(IF(AUtrue!AJ21&lt;$K$8, $K$1, IF(AUtrue!AJ21&lt;$J$8, $J$1, IF(AUtrue!AJ21&lt;$I$8, $I$1, IF(AUtrue!AJ21&gt;=$H$8, $H$1)))))*$L$8</f>
        <v>160</v>
      </c>
      <c r="H33">
        <v>0</v>
      </c>
      <c r="I33">
        <f>(IF(AUtrue!AS21="Poor",$K$1,IF(AUtrue!AS21="Fair",$J$1,IF(AUtrue!AS21="Good",$I$1,IF(AUtrue!AS21="Excellent",$H$1)))))*$L$10</f>
        <v>100</v>
      </c>
      <c r="J33">
        <f t="shared" si="0"/>
        <v>350</v>
      </c>
    </row>
    <row r="34" spans="1:10" x14ac:dyDescent="0.25">
      <c r="A34" t="str">
        <f>AUtrue!C22</f>
        <v>Street16</v>
      </c>
      <c r="B34">
        <f>(IF(AUtrue!K22&gt;$H$2, $H$1, IF(AUtrue!K22=$I$2, $I$1, IF(AUtrue!K22=$J$2, $J$1, IF(AUtrue!K22=$K$2, $K$1, 3)))))*$L$2</f>
        <v>30</v>
      </c>
      <c r="C34">
        <f>IF( OR( AUtrue!AK22&lt;$H$4, AUtrue!AK22&gt;$H$3 ), $H$1, IF( OR( AUtrue!AK22&lt;$I$4, AUtrue!AK22&gt;$I$3 ), $I$1, IF( OR( AUtrue!AK22&lt;$J$4, AUtrue!AK22&gt;$J$3 ), $J$1, IF( OR( AUtrue!AK22&lt;$K$3, AUtrue!AK22&gt;$K$4 ), $K$1)))) * $L$3</f>
        <v>0</v>
      </c>
      <c r="D34">
        <f>(IF(AUtrue!AB22="Y",$I$1, IF(AUtrue!AB22="N",$K$1)))*$L$5</f>
        <v>30</v>
      </c>
      <c r="E34">
        <f>(IF(AUtrue!AF22="Y", $H$1, IF(AUtrue!AF22="N", $K$1)))*$L$6</f>
        <v>0</v>
      </c>
      <c r="F34">
        <f>(IF(AUtrue!AC22="Y", $I$1, IF(AUtrue!AC22="N", $K$1)))*$L$7</f>
        <v>30</v>
      </c>
      <c r="G34">
        <f>(IF(AUtrue!AJ22&lt;$K$8, $K$1, IF(AUtrue!AJ22&lt;$J$8, $J$1, IF(AUtrue!AJ22&lt;$I$8, $I$1, IF(AUtrue!AJ22&gt;=$H$8, $H$1)))))*$L$8</f>
        <v>160</v>
      </c>
      <c r="H34">
        <v>0</v>
      </c>
      <c r="I34">
        <f>(IF(AUtrue!AS22="Poor",$K$1,IF(AUtrue!AS22="Fair",$J$1,IF(AUtrue!AS22="Good",$I$1,IF(AUtrue!AS22="Excellent",$H$1)))))*$L$10</f>
        <v>100</v>
      </c>
      <c r="J34">
        <f t="shared" si="0"/>
        <v>350</v>
      </c>
    </row>
    <row r="35" spans="1:10" x14ac:dyDescent="0.25">
      <c r="A35" t="str">
        <f>AUtrue!C23</f>
        <v>Street38</v>
      </c>
      <c r="B35">
        <f>(IF(AUtrue!K23&gt;$H$2, $H$1, IF(AUtrue!K23=$I$2, $I$1, IF(AUtrue!K23=$J$2, $J$1, IF(AUtrue!K23=$K$2, $K$1, 3)))))*$L$2</f>
        <v>45</v>
      </c>
      <c r="C35">
        <f>IF( OR( AUtrue!AK23&lt;$H$4, AUtrue!AK23&gt;$H$3 ), $H$1, IF( OR( AUtrue!AK23&lt;$I$4, AUtrue!AK23&gt;$I$3 ), $I$1, IF( OR( AUtrue!AK23&lt;$J$4, AUtrue!AK23&gt;$J$3 ), $J$1, IF( OR( AUtrue!AK23&lt;$K$3, AUtrue!AK23&gt;$K$4 ), $K$1)))) * $L$3</f>
        <v>60</v>
      </c>
      <c r="D35">
        <f>(IF(AUtrue!AB23="Y",$I$1, IF(AUtrue!AB23="N",$K$1)))*$L$5</f>
        <v>30</v>
      </c>
      <c r="E35">
        <f>(IF(AUtrue!AF23="Y", $H$1, IF(AUtrue!AF23="N", $K$1)))*$L$6</f>
        <v>75</v>
      </c>
      <c r="F35">
        <f>(IF(AUtrue!AC23="Y", $I$1, IF(AUtrue!AC23="N", $K$1)))*$L$7</f>
        <v>30</v>
      </c>
      <c r="G35">
        <f>(IF(AUtrue!AJ23&lt;$K$8, $K$1, IF(AUtrue!AJ23&lt;$J$8, $J$1, IF(AUtrue!AJ23&lt;$I$8, $I$1, IF(AUtrue!AJ23&gt;=$H$8, $H$1)))))*$L$8</f>
        <v>0</v>
      </c>
      <c r="H35">
        <v>0</v>
      </c>
      <c r="I35">
        <f>(IF(AUtrue!AS23="Poor",$K$1,IF(AUtrue!AS23="Fair",$J$1,IF(AUtrue!AS23="Good",$I$1,IF(AUtrue!AS23="Excellent",$H$1)))))*$L$10</f>
        <v>100</v>
      </c>
      <c r="J35">
        <f t="shared" si="0"/>
        <v>340</v>
      </c>
    </row>
    <row r="36" spans="1:10" x14ac:dyDescent="0.25">
      <c r="A36" t="str">
        <f>AUtrue!C24</f>
        <v>Street18</v>
      </c>
      <c r="B36">
        <f>(IF(AUtrue!K24&gt;$H$2, $H$1, IF(AUtrue!K24=$I$2, $I$1, IF(AUtrue!K24=$J$2, $J$1, IF(AUtrue!K24=$K$2, $K$1, 3)))))*$L$2</f>
        <v>30</v>
      </c>
      <c r="C36">
        <f>IF( OR( AUtrue!AK24&lt;$H$4, AUtrue!AK24&gt;$H$3 ), $H$1, IF( OR( AUtrue!AK24&lt;$I$4, AUtrue!AK24&gt;$I$3 ), $I$1, IF( OR( AUtrue!AK24&lt;$J$4, AUtrue!AK24&gt;$J$3 ), $J$1, IF( OR( AUtrue!AK24&lt;$K$3, AUtrue!AK24&gt;$K$4 ), $K$1)))) * $L$3</f>
        <v>60</v>
      </c>
      <c r="D36">
        <f>(IF(AUtrue!AB24="Y",$I$1, IF(AUtrue!AB24="N",$K$1)))*$L$5</f>
        <v>30</v>
      </c>
      <c r="E36">
        <f>(IF(AUtrue!AF24="Y", $H$1, IF(AUtrue!AF24="N", $K$1)))*$L$6</f>
        <v>0</v>
      </c>
      <c r="F36">
        <f>(IF(AUtrue!AC24="Y", $I$1, IF(AUtrue!AC24="N", $K$1)))*$L$7</f>
        <v>30</v>
      </c>
      <c r="G36">
        <f>(IF(AUtrue!AJ24&lt;$K$8, $K$1, IF(AUtrue!AJ24&lt;$J$8, $J$1, IF(AUtrue!AJ24&lt;$I$8, $I$1, IF(AUtrue!AJ24&gt;=$H$8, $H$1)))))*$L$8</f>
        <v>80</v>
      </c>
      <c r="H36">
        <v>0</v>
      </c>
      <c r="I36">
        <f>(IF(AUtrue!AS24="Poor",$K$1,IF(AUtrue!AS24="Fair",$J$1,IF(AUtrue!AS24="Good",$I$1,IF(AUtrue!AS24="Excellent",$H$1)))))*$L$10</f>
        <v>100</v>
      </c>
      <c r="J36">
        <f t="shared" si="0"/>
        <v>330</v>
      </c>
    </row>
    <row r="37" spans="1:10" x14ac:dyDescent="0.25">
      <c r="A37" t="str">
        <f>AUtrue!C25</f>
        <v>Street19</v>
      </c>
      <c r="B37">
        <f>(IF(AUtrue!K25&gt;$H$2, $H$1, IF(AUtrue!K25=$I$2, $I$1, IF(AUtrue!K25=$J$2, $J$1, IF(AUtrue!K25=$K$2, $K$1, 3)))))*$L$2</f>
        <v>30</v>
      </c>
      <c r="C37">
        <f>IF( OR( AUtrue!AK25&lt;$H$4, AUtrue!AK25&gt;$H$3 ), $H$1, IF( OR( AUtrue!AK25&lt;$I$4, AUtrue!AK25&gt;$I$3 ), $I$1, IF( OR( AUtrue!AK25&lt;$J$4, AUtrue!AK25&gt;$J$3 ), $J$1, IF( OR( AUtrue!AK25&lt;$K$3, AUtrue!AK25&gt;$K$4 ), $K$1)))) * $L$3</f>
        <v>60</v>
      </c>
      <c r="D37">
        <f>(IF(AUtrue!AB25="Y",$I$1, IF(AUtrue!AB25="N",$K$1)))*$L$5</f>
        <v>30</v>
      </c>
      <c r="E37">
        <f>(IF(AUtrue!AF25="Y", $H$1, IF(AUtrue!AF25="N", $K$1)))*$L$6</f>
        <v>0</v>
      </c>
      <c r="F37">
        <f>(IF(AUtrue!AC25="Y", $I$1, IF(AUtrue!AC25="N", $K$1)))*$L$7</f>
        <v>30</v>
      </c>
      <c r="G37">
        <f>(IF(AUtrue!AJ25&lt;$K$8, $K$1, IF(AUtrue!AJ25&lt;$J$8, $J$1, IF(AUtrue!AJ25&lt;$I$8, $I$1, IF(AUtrue!AJ25&gt;=$H$8, $H$1)))))*$L$8</f>
        <v>80</v>
      </c>
      <c r="H37">
        <v>0</v>
      </c>
      <c r="I37">
        <f>(IF(AUtrue!AS25="Poor",$K$1,IF(AUtrue!AS25="Fair",$J$1,IF(AUtrue!AS25="Good",$I$1,IF(AUtrue!AS25="Excellent",$H$1)))))*$L$10</f>
        <v>100</v>
      </c>
      <c r="J37">
        <f t="shared" si="0"/>
        <v>330</v>
      </c>
    </row>
    <row r="38" spans="1:10" x14ac:dyDescent="0.25">
      <c r="A38" t="str">
        <f>AUtrue!C26</f>
        <v>Street42</v>
      </c>
      <c r="B38">
        <f>(IF(AUtrue!K26&gt;$H$2, $H$1, IF(AUtrue!K26=$I$2, $I$1, IF(AUtrue!K26=$J$2, $J$1, IF(AUtrue!K26=$K$2, $K$1, 3)))))*$L$2</f>
        <v>45</v>
      </c>
      <c r="C38">
        <f>IF( OR( AUtrue!AK26&lt;$H$4, AUtrue!AK26&gt;$H$3 ), $H$1, IF( OR( AUtrue!AK26&lt;$I$4, AUtrue!AK26&gt;$I$3 ), $I$1, IF( OR( AUtrue!AK26&lt;$J$4, AUtrue!AK26&gt;$J$3 ), $J$1, IF( OR( AUtrue!AK26&lt;$K$3, AUtrue!AK26&gt;$K$4 ), $K$1)))) * $L$3</f>
        <v>60</v>
      </c>
      <c r="D38">
        <f>(IF(AUtrue!AB26="Y",$I$1, IF(AUtrue!AB26="N",$K$1)))*$L$5</f>
        <v>30</v>
      </c>
      <c r="E38">
        <f>(IF(AUtrue!AF26="Y", $H$1, IF(AUtrue!AF26="N", $K$1)))*$L$6</f>
        <v>75</v>
      </c>
      <c r="F38">
        <f>(IF(AUtrue!AC26="Y", $I$1, IF(AUtrue!AC26="N", $K$1)))*$L$7</f>
        <v>30</v>
      </c>
      <c r="G38">
        <f>(IF(AUtrue!AJ26&lt;$K$8, $K$1, IF(AUtrue!AJ26&lt;$J$8, $J$1, IF(AUtrue!AJ26&lt;$I$8, $I$1, IF(AUtrue!AJ26&gt;=$H$8, $H$1)))))*$L$8</f>
        <v>80</v>
      </c>
      <c r="H38">
        <v>0</v>
      </c>
      <c r="I38">
        <f>(IF(AUtrue!AS26="Poor",$K$1,IF(AUtrue!AS26="Fair",$J$1,IF(AUtrue!AS26="Good",$I$1,IF(AUtrue!AS26="Excellent",$H$1)))))*$L$10</f>
        <v>100</v>
      </c>
      <c r="J38">
        <f t="shared" si="0"/>
        <v>420</v>
      </c>
    </row>
    <row r="39" spans="1:10" x14ac:dyDescent="0.25">
      <c r="A39" t="str">
        <f>AUtrue!C27</f>
        <v>Street21</v>
      </c>
      <c r="B39">
        <f>(IF(AUtrue!K27&gt;$H$2, $H$1, IF(AUtrue!K27=$I$2, $I$1, IF(AUtrue!K27=$J$2, $J$1, IF(AUtrue!K27=$K$2, $K$1, 3)))))*$L$2</f>
        <v>30</v>
      </c>
      <c r="C39">
        <f>IF( OR( AUtrue!AK27&lt;$H$4, AUtrue!AK27&gt;$H$3 ), $H$1, IF( OR( AUtrue!AK27&lt;$I$4, AUtrue!AK27&gt;$I$3 ), $I$1, IF( OR( AUtrue!AK27&lt;$J$4, AUtrue!AK27&gt;$J$3 ), $J$1, IF( OR( AUtrue!AK27&lt;$K$3, AUtrue!AK27&gt;$K$4 ), $K$1)))) * $L$3</f>
        <v>60</v>
      </c>
      <c r="D39">
        <f>(IF(AUtrue!AB27="Y",$I$1, IF(AUtrue!AB27="N",$K$1)))*$L$5</f>
        <v>10</v>
      </c>
      <c r="E39">
        <f>(IF(AUtrue!AF27="Y", $H$1, IF(AUtrue!AF27="N", $K$1)))*$L$6</f>
        <v>75</v>
      </c>
      <c r="F39">
        <f>(IF(AUtrue!AC27="Y", $I$1, IF(AUtrue!AC27="N", $K$1)))*$L$7</f>
        <v>30</v>
      </c>
      <c r="G39">
        <f>(IF(AUtrue!AJ27&lt;$K$8, $K$1, IF(AUtrue!AJ27&lt;$J$8, $J$1, IF(AUtrue!AJ27&lt;$I$8, $I$1, IF(AUtrue!AJ27&gt;=$H$8, $H$1)))))*$L$8</f>
        <v>80</v>
      </c>
      <c r="H39">
        <v>0</v>
      </c>
      <c r="I39">
        <f>(IF(AUtrue!AS27="Poor",$K$1,IF(AUtrue!AS27="Fair",$J$1,IF(AUtrue!AS27="Good",$I$1,IF(AUtrue!AS27="Excellent",$H$1)))))*$L$10</f>
        <v>100</v>
      </c>
      <c r="J39">
        <f t="shared" si="0"/>
        <v>385</v>
      </c>
    </row>
    <row r="40" spans="1:10" x14ac:dyDescent="0.25">
      <c r="A40" t="str">
        <f>AUtrue!C28</f>
        <v>Street22</v>
      </c>
      <c r="B40">
        <f>(IF(AUtrue!K28&gt;$H$2, $H$1, IF(AUtrue!K28=$I$2, $I$1, IF(AUtrue!K28=$J$2, $J$1, IF(AUtrue!K28=$K$2, $K$1, 3)))))*$L$2</f>
        <v>30</v>
      </c>
      <c r="C40">
        <f>IF( OR( AUtrue!AK28&lt;$H$4, AUtrue!AK28&gt;$H$3 ), $H$1, IF( OR( AUtrue!AK28&lt;$I$4, AUtrue!AK28&gt;$I$3 ), $I$1, IF( OR( AUtrue!AK28&lt;$J$4, AUtrue!AK28&gt;$J$3 ), $J$1, IF( OR( AUtrue!AK28&lt;$K$3, AUtrue!AK28&gt;$K$4 ), $K$1)))) * $L$3</f>
        <v>60</v>
      </c>
      <c r="D40">
        <f>(IF(AUtrue!AB28="Y",$I$1, IF(AUtrue!AB28="N",$K$1)))*$L$5</f>
        <v>10</v>
      </c>
      <c r="E40">
        <f>(IF(AUtrue!AF28="Y", $H$1, IF(AUtrue!AF28="N", $K$1)))*$L$6</f>
        <v>75</v>
      </c>
      <c r="F40">
        <f>(IF(AUtrue!AC28="Y", $I$1, IF(AUtrue!AC28="N", $K$1)))*$L$7</f>
        <v>30</v>
      </c>
      <c r="G40">
        <f>(IF(AUtrue!AJ28&lt;$K$8, $K$1, IF(AUtrue!AJ28&lt;$J$8, $J$1, IF(AUtrue!AJ28&lt;$I$8, $I$1, IF(AUtrue!AJ28&gt;=$H$8, $H$1)))))*$L$8</f>
        <v>80</v>
      </c>
      <c r="H40">
        <v>0</v>
      </c>
      <c r="I40">
        <f>(IF(AUtrue!AS28="Poor",$K$1,IF(AUtrue!AS28="Fair",$J$1,IF(AUtrue!AS28="Good",$I$1,IF(AUtrue!AS28="Excellent",$H$1)))))*$L$10</f>
        <v>100</v>
      </c>
      <c r="J40">
        <f t="shared" si="0"/>
        <v>385</v>
      </c>
    </row>
    <row r="41" spans="1:10" x14ac:dyDescent="0.25">
      <c r="A41" t="str">
        <f>AUtrue!C29</f>
        <v>Street23</v>
      </c>
      <c r="B41">
        <f>(IF(AUtrue!K29&gt;$H$2, $H$1, IF(AUtrue!K29=$I$2, $I$1, IF(AUtrue!K29=$J$2, $J$1, IF(AUtrue!K29=$K$2, $K$1, 3)))))*$L$2</f>
        <v>15</v>
      </c>
      <c r="C41">
        <f>IF( OR( AUtrue!AK29&lt;$H$4, AUtrue!AK29&gt;$H$3 ), $H$1, IF( OR( AUtrue!AK29&lt;$I$4, AUtrue!AK29&gt;$I$3 ), $I$1, IF( OR( AUtrue!AK29&lt;$J$4, AUtrue!AK29&gt;$J$3 ), $J$1, IF( OR( AUtrue!AK29&lt;$K$3, AUtrue!AK29&gt;$K$4 ), $K$1)))) * $L$3</f>
        <v>120</v>
      </c>
      <c r="D41">
        <f>(IF(AUtrue!AB29="Y",$I$1, IF(AUtrue!AB29="N",$K$1)))*$L$5</f>
        <v>10</v>
      </c>
      <c r="E41">
        <f>(IF(AUtrue!AF29="Y", $H$1, IF(AUtrue!AF29="N", $K$1)))*$L$6</f>
        <v>0</v>
      </c>
      <c r="F41">
        <f>(IF(AUtrue!AC29="Y", $I$1, IF(AUtrue!AC29="N", $K$1)))*$L$7</f>
        <v>30</v>
      </c>
      <c r="G41">
        <f>(IF(AUtrue!AJ29&lt;$K$8, $K$1, IF(AUtrue!AJ29&lt;$J$8, $J$1, IF(AUtrue!AJ29&lt;$I$8, $I$1, IF(AUtrue!AJ29&gt;=$H$8, $H$1)))))*$L$8</f>
        <v>80</v>
      </c>
      <c r="H41">
        <v>0</v>
      </c>
      <c r="I41">
        <f>(IF(AUtrue!AS29="Poor",$K$1,IF(AUtrue!AS29="Fair",$J$1,IF(AUtrue!AS29="Good",$I$1,IF(AUtrue!AS29="Excellent",$H$1)))))*$L$10</f>
        <v>150</v>
      </c>
      <c r="J41">
        <f t="shared" si="0"/>
        <v>405</v>
      </c>
    </row>
    <row r="42" spans="1:10" x14ac:dyDescent="0.25">
      <c r="A42" t="str">
        <f>AUtrue!C30</f>
        <v>Street24</v>
      </c>
      <c r="B42">
        <f>(IF(AUtrue!K30&gt;$H$2, $H$1, IF(AUtrue!K30=$I$2, $I$1, IF(AUtrue!K30=$J$2, $J$1, IF(AUtrue!K30=$K$2, $K$1, 3)))))*$L$2</f>
        <v>15</v>
      </c>
      <c r="C42">
        <f>IF( OR( AUtrue!AK30&lt;$H$4, AUtrue!AK30&gt;$H$3 ), $H$1, IF( OR( AUtrue!AK30&lt;$I$4, AUtrue!AK30&gt;$I$3 ), $I$1, IF( OR( AUtrue!AK30&lt;$J$4, AUtrue!AK30&gt;$J$3 ), $J$1, IF( OR( AUtrue!AK30&lt;$K$3, AUtrue!AK30&gt;$K$4 ), $K$1)))) * $L$3</f>
        <v>120</v>
      </c>
      <c r="D42">
        <f>(IF(AUtrue!AB30="Y",$I$1, IF(AUtrue!AB30="N",$K$1)))*$L$5</f>
        <v>10</v>
      </c>
      <c r="E42">
        <f>(IF(AUtrue!AF30="Y", $H$1, IF(AUtrue!AF30="N", $K$1)))*$L$6</f>
        <v>0</v>
      </c>
      <c r="F42">
        <f>(IF(AUtrue!AC30="Y", $I$1, IF(AUtrue!AC30="N", $K$1)))*$L$7</f>
        <v>30</v>
      </c>
      <c r="G42">
        <f>(IF(AUtrue!AJ30&lt;$K$8, $K$1, IF(AUtrue!AJ30&lt;$J$8, $J$1, IF(AUtrue!AJ30&lt;$I$8, $I$1, IF(AUtrue!AJ30&gt;=$H$8, $H$1)))))*$L$8</f>
        <v>80</v>
      </c>
      <c r="H42">
        <v>0</v>
      </c>
      <c r="I42">
        <f>(IF(AUtrue!AS30="Poor",$K$1,IF(AUtrue!AS30="Fair",$J$1,IF(AUtrue!AS30="Good",$I$1,IF(AUtrue!AS30="Excellent",$H$1)))))*$L$10</f>
        <v>150</v>
      </c>
      <c r="J42">
        <f t="shared" si="0"/>
        <v>405</v>
      </c>
    </row>
    <row r="43" spans="1:10" x14ac:dyDescent="0.25">
      <c r="A43" t="str">
        <f>AUtrue!C31</f>
        <v>Street25</v>
      </c>
      <c r="B43">
        <f>(IF(AUtrue!K31&gt;$H$2, $H$1, IF(AUtrue!K31=$I$2, $I$1, IF(AUtrue!K31=$J$2, $J$1, IF(AUtrue!K31=$K$2, $K$1, 3)))))*$L$2</f>
        <v>15</v>
      </c>
      <c r="C43">
        <f>IF( OR( AUtrue!AK31&lt;$H$4, AUtrue!AK31&gt;$H$3 ), $H$1, IF( OR( AUtrue!AK31&lt;$I$4, AUtrue!AK31&gt;$I$3 ), $I$1, IF( OR( AUtrue!AK31&lt;$J$4, AUtrue!AK31&gt;$J$3 ), $J$1, IF( OR( AUtrue!AK31&lt;$K$3, AUtrue!AK31&gt;$K$4 ), $K$1)))) * $L$3</f>
        <v>120</v>
      </c>
      <c r="D43">
        <f>(IF(AUtrue!AB31="Y",$I$1, IF(AUtrue!AB31="N",$K$1)))*$L$5</f>
        <v>10</v>
      </c>
      <c r="E43">
        <f>(IF(AUtrue!AF31="Y", $H$1, IF(AUtrue!AF31="N", $K$1)))*$L$6</f>
        <v>0</v>
      </c>
      <c r="F43">
        <f>(IF(AUtrue!AC31="Y", $I$1, IF(AUtrue!AC31="N", $K$1)))*$L$7</f>
        <v>30</v>
      </c>
      <c r="G43">
        <f>(IF(AUtrue!AJ31&lt;$K$8, $K$1, IF(AUtrue!AJ31&lt;$J$8, $J$1, IF(AUtrue!AJ31&lt;$I$8, $I$1, IF(AUtrue!AJ31&gt;=$H$8, $H$1)))))*$L$8</f>
        <v>80</v>
      </c>
      <c r="H43">
        <v>0</v>
      </c>
      <c r="I43">
        <f>(IF(AUtrue!AS31="Poor",$K$1,IF(AUtrue!AS31="Fair",$J$1,IF(AUtrue!AS31="Good",$I$1,IF(AUtrue!AS31="Excellent",$H$1)))))*$L$10</f>
        <v>150</v>
      </c>
      <c r="J43">
        <f t="shared" si="0"/>
        <v>405</v>
      </c>
    </row>
    <row r="44" spans="1:10" x14ac:dyDescent="0.25">
      <c r="A44" t="str">
        <f>AUtrue!C32</f>
        <v>Street48</v>
      </c>
      <c r="B44">
        <f>(IF(AUtrue!K32&gt;$H$2, $H$1, IF(AUtrue!K32=$I$2, $I$1, IF(AUtrue!K32=$J$2, $J$1, IF(AUtrue!K32=$K$2, $K$1, 3)))))*$L$2</f>
        <v>45</v>
      </c>
      <c r="C44">
        <f>IF( OR( AUtrue!AK32&lt;$H$4, AUtrue!AK32&gt;$H$3 ), $H$1, IF( OR( AUtrue!AK32&lt;$I$4, AUtrue!AK32&gt;$I$3 ), $I$1, IF( OR( AUtrue!AK32&lt;$J$4, AUtrue!AK32&gt;$J$3 ), $J$1, IF( OR( AUtrue!AK32&lt;$K$3, AUtrue!AK32&gt;$K$4 ), $K$1)))) * $L$3</f>
        <v>0</v>
      </c>
      <c r="D44">
        <f>(IF(AUtrue!AB32="Y",$I$1, IF(AUtrue!AB32="N",$K$1)))*$L$5</f>
        <v>30</v>
      </c>
      <c r="E44">
        <f>(IF(AUtrue!AF32="Y", $H$1, IF(AUtrue!AF32="N", $K$1)))*$L$6</f>
        <v>75</v>
      </c>
      <c r="F44">
        <f>(IF(AUtrue!AC32="Y", $I$1, IF(AUtrue!AC32="N", $K$1)))*$L$7</f>
        <v>30</v>
      </c>
      <c r="G44">
        <f>(IF(AUtrue!AJ32&lt;$K$8, $K$1, IF(AUtrue!AJ32&lt;$J$8, $J$1, IF(AUtrue!AJ32&lt;$I$8, $I$1, IF(AUtrue!AJ32&gt;=$H$8, $H$1)))))*$L$8</f>
        <v>0</v>
      </c>
      <c r="H44">
        <v>0</v>
      </c>
      <c r="I44">
        <f>(IF(AUtrue!AS32="Poor",$K$1,IF(AUtrue!AS32="Fair",$J$1,IF(AUtrue!AS32="Good",$I$1,IF(AUtrue!AS32="Excellent",$H$1)))))*$L$10</f>
        <v>100</v>
      </c>
      <c r="J44">
        <f t="shared" si="0"/>
        <v>280</v>
      </c>
    </row>
    <row r="45" spans="1:10" s="72" customFormat="1" x14ac:dyDescent="0.25">
      <c r="A45" t="str">
        <f>AUtrue!C33</f>
        <v>Street49</v>
      </c>
      <c r="B45">
        <f>(IF(AUtrue!K33&gt;$H$2, $H$1, IF(AUtrue!K33=$I$2, $I$1, IF(AUtrue!K33=$J$2, $J$1, IF(AUtrue!K33=$K$2, $K$1, 3)))))*$L$2</f>
        <v>45</v>
      </c>
      <c r="C45">
        <f>IF( OR( AUtrue!AK33&lt;$H$4, AUtrue!AK33&gt;$H$3 ), $H$1, IF( OR( AUtrue!AK33&lt;$I$4, AUtrue!AK33&gt;$I$3 ), $I$1, IF( OR( AUtrue!AK33&lt;$J$4, AUtrue!AK33&gt;$J$3 ), $J$1, IF( OR( AUtrue!AK33&lt;$K$3, AUtrue!AK33&gt;$K$4 ), $K$1)))) * $L$3</f>
        <v>0</v>
      </c>
      <c r="D45">
        <f>(IF(AUtrue!AB33="Y",$I$1, IF(AUtrue!AB33="N",$K$1)))*$L$5</f>
        <v>10</v>
      </c>
      <c r="E45">
        <f>(IF(AUtrue!AF33="Y", $H$1, IF(AUtrue!AF33="N", $K$1)))*$L$6</f>
        <v>0</v>
      </c>
      <c r="F45">
        <f>(IF(AUtrue!AC33="Y", $I$1, IF(AUtrue!AC33="N", $K$1)))*$L$7</f>
        <v>10</v>
      </c>
      <c r="G45">
        <f>(IF(AUtrue!AJ33&lt;$K$8, $K$1, IF(AUtrue!AJ33&lt;$J$8, $J$1, IF(AUtrue!AJ33&lt;$I$8, $I$1, IF(AUtrue!AJ33&gt;=$H$8, $H$1)))))*$L$8</f>
        <v>0</v>
      </c>
      <c r="H45">
        <v>0</v>
      </c>
      <c r="I45">
        <f>(IF(AUtrue!AS33="Poor",$K$1,IF(AUtrue!AS33="Fair",$J$1,IF(AUtrue!AS33="Good",$I$1,IF(AUtrue!AS33="Excellent",$H$1)))))*$L$10</f>
        <v>100</v>
      </c>
      <c r="J45">
        <f t="shared" si="0"/>
        <v>165</v>
      </c>
    </row>
    <row r="46" spans="1:10" x14ac:dyDescent="0.25">
      <c r="A46" t="str">
        <f>AUtrue!C34</f>
        <v>Street28</v>
      </c>
      <c r="B46">
        <f>(IF(AUtrue!K34&gt;$H$2, $H$1, IF(AUtrue!K34=$I$2, $I$1, IF(AUtrue!K34=$J$2, $J$1, IF(AUtrue!K34=$K$2, $K$1, 3)))))*$L$2</f>
        <v>45</v>
      </c>
      <c r="C46">
        <f>IF( OR( AUtrue!AK34&lt;$H$4, AUtrue!AK34&gt;$H$3 ), $H$1, IF( OR( AUtrue!AK34&lt;$I$4, AUtrue!AK34&gt;$I$3 ), $I$1, IF( OR( AUtrue!AK34&lt;$J$4, AUtrue!AK34&gt;$J$3 ), $J$1, IF( OR( AUtrue!AK34&lt;$K$3, AUtrue!AK34&gt;$K$4 ), $K$1)))) * $L$3</f>
        <v>0</v>
      </c>
      <c r="D46">
        <f>(IF(AUtrue!AB34="Y",$I$1, IF(AUtrue!AB34="N",$K$1)))*$L$5</f>
        <v>10</v>
      </c>
      <c r="E46">
        <f>(IF(AUtrue!AF34="Y", $H$1, IF(AUtrue!AF34="N", $K$1)))*$L$6</f>
        <v>0</v>
      </c>
      <c r="F46">
        <f>(IF(AUtrue!AC34="Y", $I$1, IF(AUtrue!AC34="N", $K$1)))*$L$7</f>
        <v>30</v>
      </c>
      <c r="G46">
        <f>(IF(AUtrue!AJ34&lt;$K$8, $K$1, IF(AUtrue!AJ34&lt;$J$8, $J$1, IF(AUtrue!AJ34&lt;$I$8, $I$1, IF(AUtrue!AJ34&gt;=$H$8, $H$1)))))*$L$8</f>
        <v>80</v>
      </c>
      <c r="H46">
        <v>0</v>
      </c>
      <c r="I46">
        <f>(IF(AUtrue!AS34="Poor",$K$1,IF(AUtrue!AS34="Fair",$J$1,IF(AUtrue!AS34="Good",$I$1,IF(AUtrue!AS34="Excellent",$H$1)))))*$L$10</f>
        <v>150</v>
      </c>
      <c r="J46">
        <f t="shared" si="0"/>
        <v>315</v>
      </c>
    </row>
    <row r="47" spans="1:10" x14ac:dyDescent="0.25">
      <c r="A47" t="str">
        <f>AUtrue!C35</f>
        <v>Street29</v>
      </c>
      <c r="B47">
        <f>(IF(AUtrue!K35&gt;$H$2, $H$1, IF(AUtrue!K35=$I$2, $I$1, IF(AUtrue!K35=$J$2, $J$1, IF(AUtrue!K35=$K$2, $K$1, 3)))))*$L$2</f>
        <v>45</v>
      </c>
      <c r="C47">
        <f>IF( OR( AUtrue!AK35&lt;$H$4, AUtrue!AK35&gt;$H$3 ), $H$1, IF( OR( AUtrue!AK35&lt;$I$4, AUtrue!AK35&gt;$I$3 ), $I$1, IF( OR( AUtrue!AK35&lt;$J$4, AUtrue!AK35&gt;$J$3 ), $J$1, IF( OR( AUtrue!AK35&lt;$K$3, AUtrue!AK35&gt;$K$4 ), $K$1)))) * $L$3</f>
        <v>60</v>
      </c>
      <c r="D47">
        <f>(IF(AUtrue!AB35="Y",$I$1, IF(AUtrue!AB35="N",$K$1)))*$L$5</f>
        <v>30</v>
      </c>
      <c r="E47">
        <f>(IF(AUtrue!AF35="Y", $H$1, IF(AUtrue!AF35="N", $K$1)))*$L$6</f>
        <v>0</v>
      </c>
      <c r="F47">
        <f>(IF(AUtrue!AC35="Y", $I$1, IF(AUtrue!AC35="N", $K$1)))*$L$7</f>
        <v>30</v>
      </c>
      <c r="G47">
        <f>(IF(AUtrue!AJ35&lt;$K$8, $K$1, IF(AUtrue!AJ35&lt;$J$8, $J$1, IF(AUtrue!AJ35&lt;$I$8, $I$1, IF(AUtrue!AJ35&gt;=$H$8, $H$1)))))*$L$8</f>
        <v>80</v>
      </c>
      <c r="H47">
        <v>0</v>
      </c>
      <c r="I47">
        <f>(IF(AUtrue!AS35="Poor",$K$1,IF(AUtrue!AS35="Fair",$J$1,IF(AUtrue!AS35="Good",$I$1,IF(AUtrue!AS35="Excellent",$H$1)))))*$L$10</f>
        <v>150</v>
      </c>
      <c r="J47">
        <f t="shared" si="0"/>
        <v>395</v>
      </c>
    </row>
    <row r="48" spans="1:10" x14ac:dyDescent="0.25">
      <c r="A48" t="str">
        <f>AUtrue!C36</f>
        <v>Street30</v>
      </c>
      <c r="B48">
        <f>(IF(AUtrue!K36&gt;$H$2, $H$1, IF(AUtrue!K36=$I$2, $I$1, IF(AUtrue!K36=$J$2, $J$1, IF(AUtrue!K36=$K$2, $K$1, 3)))))*$L$2</f>
        <v>30</v>
      </c>
      <c r="C48">
        <f>IF( OR( AUtrue!AK36&lt;$H$4, AUtrue!AK36&gt;$H$3 ), $H$1, IF( OR( AUtrue!AK36&lt;$I$4, AUtrue!AK36&gt;$I$3 ), $I$1, IF( OR( AUtrue!AK36&lt;$J$4, AUtrue!AK36&gt;$J$3 ), $J$1, IF( OR( AUtrue!AK36&lt;$K$3, AUtrue!AK36&gt;$K$4 ), $K$1)))) * $L$3</f>
        <v>180</v>
      </c>
      <c r="D48">
        <f>(IF(AUtrue!AB36="Y",$I$1, IF(AUtrue!AB36="N",$K$1)))*$L$5</f>
        <v>30</v>
      </c>
      <c r="E48">
        <f>(IF(AUtrue!AF36="Y", $H$1, IF(AUtrue!AF36="N", $K$1)))*$L$6</f>
        <v>0</v>
      </c>
      <c r="F48">
        <f>(IF(AUtrue!AC36="Y", $I$1, IF(AUtrue!AC36="N", $K$1)))*$L$7</f>
        <v>10</v>
      </c>
      <c r="G48">
        <f>(IF(AUtrue!AJ36&lt;$K$8, $K$1, IF(AUtrue!AJ36&lt;$J$8, $J$1, IF(AUtrue!AJ36&lt;$I$8, $I$1, IF(AUtrue!AJ36&gt;=$H$8, $H$1)))))*$L$8</f>
        <v>80</v>
      </c>
      <c r="H48">
        <v>0</v>
      </c>
      <c r="I48">
        <f>(IF(AUtrue!AS36="Poor",$K$1,IF(AUtrue!AS36="Fair",$J$1,IF(AUtrue!AS36="Good",$I$1,IF(AUtrue!AS36="Excellent",$H$1)))))*$L$10</f>
        <v>150</v>
      </c>
      <c r="J48">
        <f t="shared" si="0"/>
        <v>480</v>
      </c>
    </row>
    <row r="49" spans="1:10" x14ac:dyDescent="0.25">
      <c r="A49" t="str">
        <f>AUtrue!C37</f>
        <v>Street31</v>
      </c>
      <c r="B49">
        <f>(IF(AUtrue!K37&gt;$H$2, $H$1, IF(AUtrue!K37=$I$2, $I$1, IF(AUtrue!K37=$J$2, $J$1, IF(AUtrue!K37=$K$2, $K$1, 3)))))*$L$2</f>
        <v>30</v>
      </c>
      <c r="C49">
        <f>IF( OR( AUtrue!AK37&lt;$H$4, AUtrue!AK37&gt;$H$3 ), $H$1, IF( OR( AUtrue!AK37&lt;$I$4, AUtrue!AK37&gt;$I$3 ), $I$1, IF( OR( AUtrue!AK37&lt;$J$4, AUtrue!AK37&gt;$J$3 ), $J$1, IF( OR( AUtrue!AK37&lt;$K$3, AUtrue!AK37&gt;$K$4 ), $K$1)))) * $L$3</f>
        <v>180</v>
      </c>
      <c r="D49">
        <f>(IF(AUtrue!AB37="Y",$I$1, IF(AUtrue!AB37="N",$K$1)))*$L$5</f>
        <v>30</v>
      </c>
      <c r="E49">
        <f>(IF(AUtrue!AF37="Y", $H$1, IF(AUtrue!AF37="N", $K$1)))*$L$6</f>
        <v>0</v>
      </c>
      <c r="F49">
        <f>(IF(AUtrue!AC37="Y", $I$1, IF(AUtrue!AC37="N", $K$1)))*$L$7</f>
        <v>10</v>
      </c>
      <c r="G49">
        <f>(IF(AUtrue!AJ37&lt;$K$8, $K$1, IF(AUtrue!AJ37&lt;$J$8, $J$1, IF(AUtrue!AJ37&lt;$I$8, $I$1, IF(AUtrue!AJ37&gt;=$H$8, $H$1)))))*$L$8</f>
        <v>80</v>
      </c>
      <c r="H49">
        <v>0</v>
      </c>
      <c r="I49">
        <f>(IF(AUtrue!AS37="Poor",$K$1,IF(AUtrue!AS37="Fair",$J$1,IF(AUtrue!AS37="Good",$I$1,IF(AUtrue!AS37="Excellent",$H$1)))))*$L$10</f>
        <v>150</v>
      </c>
      <c r="J49">
        <f t="shared" si="0"/>
        <v>480</v>
      </c>
    </row>
    <row r="50" spans="1:10" x14ac:dyDescent="0.25">
      <c r="A50" t="str">
        <f>AUtrue!C38</f>
        <v>Street32</v>
      </c>
      <c r="B50">
        <f>(IF(AUtrue!K38&gt;$H$2, $H$1, IF(AUtrue!K38=$I$2, $I$1, IF(AUtrue!K38=$J$2, $J$1, IF(AUtrue!K38=$K$2, $K$1, 3)))))*$L$2</f>
        <v>30</v>
      </c>
      <c r="C50">
        <f>IF( OR( AUtrue!AK38&lt;$H$4, AUtrue!AK38&gt;$H$3 ), $H$1, IF( OR( AUtrue!AK38&lt;$I$4, AUtrue!AK38&gt;$I$3 ), $I$1, IF( OR( AUtrue!AK38&lt;$J$4, AUtrue!AK38&gt;$J$3 ), $J$1, IF( OR( AUtrue!AK38&lt;$K$3, AUtrue!AK38&gt;$K$4 ), $K$1)))) * $L$3</f>
        <v>0</v>
      </c>
      <c r="D50">
        <f>(IF(AUtrue!AB38="Y",$I$1, IF(AUtrue!AB38="N",$K$1)))*$L$5</f>
        <v>30</v>
      </c>
      <c r="E50">
        <f>(IF(AUtrue!AF38="Y", $H$1, IF(AUtrue!AF38="N", $K$1)))*$L$6</f>
        <v>75</v>
      </c>
      <c r="F50">
        <f>(IF(AUtrue!AC38="Y", $I$1, IF(AUtrue!AC38="N", $K$1)))*$L$7</f>
        <v>30</v>
      </c>
      <c r="G50">
        <f>(IF(AUtrue!AJ38&lt;$K$8, $K$1, IF(AUtrue!AJ38&lt;$J$8, $J$1, IF(AUtrue!AJ38&lt;$I$8, $I$1, IF(AUtrue!AJ38&gt;=$H$8, $H$1)))))*$L$8</f>
        <v>80</v>
      </c>
      <c r="H50">
        <v>0</v>
      </c>
      <c r="I50">
        <f>(IF(AUtrue!AS38="Poor",$K$1,IF(AUtrue!AS38="Fair",$J$1,IF(AUtrue!AS38="Good",$I$1,IF(AUtrue!AS38="Excellent",$H$1)))))*$L$10</f>
        <v>100</v>
      </c>
      <c r="J50">
        <f t="shared" si="0"/>
        <v>345</v>
      </c>
    </row>
    <row r="51" spans="1:10" x14ac:dyDescent="0.25">
      <c r="A51" t="str">
        <f>AUtrue!C39</f>
        <v>Street33</v>
      </c>
      <c r="B51">
        <f>(IF(AUtrue!K39&gt;$H$2, $H$1, IF(AUtrue!K39=$I$2, $I$1, IF(AUtrue!K39=$J$2, $J$1, IF(AUtrue!K39=$K$2, $K$1, 3)))))*$L$2</f>
        <v>30</v>
      </c>
      <c r="C51">
        <f>IF( OR( AUtrue!AK39&lt;$H$4, AUtrue!AK39&gt;$H$3 ), $H$1, IF( OR( AUtrue!AK39&lt;$I$4, AUtrue!AK39&gt;$I$3 ), $I$1, IF( OR( AUtrue!AK39&lt;$J$4, AUtrue!AK39&gt;$J$3 ), $J$1, IF( OR( AUtrue!AK39&lt;$K$3, AUtrue!AK39&gt;$K$4 ), $K$1)))) * $L$3</f>
        <v>0</v>
      </c>
      <c r="D51">
        <f>(IF(AUtrue!AB39="Y",$I$1, IF(AUtrue!AB39="N",$K$1)))*$L$5</f>
        <v>30</v>
      </c>
      <c r="E51">
        <f>(IF(AUtrue!AF39="Y", $H$1, IF(AUtrue!AF39="N", $K$1)))*$L$6</f>
        <v>75</v>
      </c>
      <c r="F51">
        <f>(IF(AUtrue!AC39="Y", $I$1, IF(AUtrue!AC39="N", $K$1)))*$L$7</f>
        <v>30</v>
      </c>
      <c r="G51">
        <f>(IF(AUtrue!AJ39&lt;$K$8, $K$1, IF(AUtrue!AJ39&lt;$J$8, $J$1, IF(AUtrue!AJ39&lt;$I$8, $I$1, IF(AUtrue!AJ39&gt;=$H$8, $H$1)))))*$L$8</f>
        <v>80</v>
      </c>
      <c r="H51">
        <v>0</v>
      </c>
      <c r="I51">
        <f>(IF(AUtrue!AS39="Poor",$K$1,IF(AUtrue!AS39="Fair",$J$1,IF(AUtrue!AS39="Good",$I$1,IF(AUtrue!AS39="Excellent",$H$1)))))*$L$10</f>
        <v>100</v>
      </c>
      <c r="J51">
        <f t="shared" si="0"/>
        <v>345</v>
      </c>
    </row>
    <row r="52" spans="1:10" x14ac:dyDescent="0.25">
      <c r="A52" t="str">
        <f>AUtrue!C40</f>
        <v>Street34</v>
      </c>
      <c r="B52">
        <f>(IF(AUtrue!K40&gt;$H$2, $H$1, IF(AUtrue!K40=$I$2, $I$1, IF(AUtrue!K40=$J$2, $J$1, IF(AUtrue!K40=$K$2, $K$1, 3)))))*$L$2</f>
        <v>45</v>
      </c>
      <c r="C52">
        <f>IF( OR( AUtrue!AK40&lt;$H$4, AUtrue!AK40&gt;$H$3 ), $H$1, IF( OR( AUtrue!AK40&lt;$I$4, AUtrue!AK40&gt;$I$3 ), $I$1, IF( OR( AUtrue!AK40&lt;$J$4, AUtrue!AK40&gt;$J$3 ), $J$1, IF( OR( AUtrue!AK40&lt;$K$3, AUtrue!AK40&gt;$K$4 ), $K$1)))) * $L$3</f>
        <v>60</v>
      </c>
      <c r="D52">
        <f>(IF(AUtrue!AB40="Y",$I$1, IF(AUtrue!AB40="N",$K$1)))*$L$5</f>
        <v>30</v>
      </c>
      <c r="E52">
        <f>(IF(AUtrue!AF40="Y", $H$1, IF(AUtrue!AF40="N", $K$1)))*$L$6</f>
        <v>75</v>
      </c>
      <c r="F52">
        <f>(IF(AUtrue!AC40="Y", $I$1, IF(AUtrue!AC40="N", $K$1)))*$L$7</f>
        <v>30</v>
      </c>
      <c r="G52">
        <f>(IF(AUtrue!AJ40&lt;$K$8, $K$1, IF(AUtrue!AJ40&lt;$J$8, $J$1, IF(AUtrue!AJ40&lt;$I$8, $I$1, IF(AUtrue!AJ40&gt;=$H$8, $H$1)))))*$L$8</f>
        <v>80</v>
      </c>
      <c r="H52">
        <v>0</v>
      </c>
      <c r="I52">
        <f>(IF(AUtrue!AS40="Poor",$K$1,IF(AUtrue!AS40="Fair",$J$1,IF(AUtrue!AS40="Good",$I$1,IF(AUtrue!AS40="Excellent",$H$1)))))*$L$10</f>
        <v>150</v>
      </c>
      <c r="J52">
        <f t="shared" si="0"/>
        <v>470</v>
      </c>
    </row>
    <row r="53" spans="1:10" x14ac:dyDescent="0.25">
      <c r="A53" t="str">
        <f>AUtrue!C41</f>
        <v>Street35</v>
      </c>
      <c r="B53">
        <f>(IF(AUtrue!K41&gt;$H$2, $H$1, IF(AUtrue!K41=$I$2, $I$1, IF(AUtrue!K41=$J$2, $J$1, IF(AUtrue!K41=$K$2, $K$1, 3)))))*$L$2</f>
        <v>30</v>
      </c>
      <c r="C53">
        <f>IF( OR( AUtrue!AK41&lt;$H$4, AUtrue!AK41&gt;$H$3 ), $H$1, IF( OR( AUtrue!AK41&lt;$I$4, AUtrue!AK41&gt;$I$3 ), $I$1, IF( OR( AUtrue!AK41&lt;$J$4, AUtrue!AK41&gt;$J$3 ), $J$1, IF( OR( AUtrue!AK41&lt;$K$3, AUtrue!AK41&gt;$K$4 ), $K$1)))) * $L$3</f>
        <v>120</v>
      </c>
      <c r="D53">
        <f>(IF(AUtrue!AB41="Y",$I$1, IF(AUtrue!AB41="N",$K$1)))*$L$5</f>
        <v>30</v>
      </c>
      <c r="E53">
        <f>(IF(AUtrue!AF41="Y", $H$1, IF(AUtrue!AF41="N", $K$1)))*$L$6</f>
        <v>75</v>
      </c>
      <c r="F53">
        <f>(IF(AUtrue!AC41="Y", $I$1, IF(AUtrue!AC41="N", $K$1)))*$L$7</f>
        <v>30</v>
      </c>
      <c r="G53">
        <f>(IF(AUtrue!AJ41&lt;$K$8, $K$1, IF(AUtrue!AJ41&lt;$J$8, $J$1, IF(AUtrue!AJ41&lt;$I$8, $I$1, IF(AUtrue!AJ41&gt;=$H$8, $H$1)))))*$L$8</f>
        <v>80</v>
      </c>
      <c r="H53">
        <v>0</v>
      </c>
      <c r="I53">
        <f>(IF(AUtrue!AS41="Poor",$K$1,IF(AUtrue!AS41="Fair",$J$1,IF(AUtrue!AS41="Good",$I$1,IF(AUtrue!AS41="Excellent",$H$1)))))*$L$10</f>
        <v>50</v>
      </c>
      <c r="J53">
        <f t="shared" si="0"/>
        <v>415</v>
      </c>
    </row>
    <row r="54" spans="1:10" x14ac:dyDescent="0.25">
      <c r="A54" t="str">
        <f>AUtrue!C42</f>
        <v>Street36</v>
      </c>
      <c r="B54">
        <f>(IF(AUtrue!K42&gt;$H$2, $H$1, IF(AUtrue!K42=$I$2, $I$1, IF(AUtrue!K42=$J$2, $J$1, IF(AUtrue!K42=$K$2, $K$1, 3)))))*$L$2</f>
        <v>30</v>
      </c>
      <c r="C54">
        <f>IF( OR( AUtrue!AK42&lt;$H$4, AUtrue!AK42&gt;$H$3 ), $H$1, IF( OR( AUtrue!AK42&lt;$I$4, AUtrue!AK42&gt;$I$3 ), $I$1, IF( OR( AUtrue!AK42&lt;$J$4, AUtrue!AK42&gt;$J$3 ), $J$1, IF( OR( AUtrue!AK42&lt;$K$3, AUtrue!AK42&gt;$K$4 ), $K$1)))) * $L$3</f>
        <v>120</v>
      </c>
      <c r="D54">
        <f>(IF(AUtrue!AB42="Y",$I$1, IF(AUtrue!AB42="N",$K$1)))*$L$5</f>
        <v>30</v>
      </c>
      <c r="E54">
        <f>(IF(AUtrue!AF42="Y", $H$1, IF(AUtrue!AF42="N", $K$1)))*$L$6</f>
        <v>75</v>
      </c>
      <c r="F54">
        <f>(IF(AUtrue!AC42="Y", $I$1, IF(AUtrue!AC42="N", $K$1)))*$L$7</f>
        <v>30</v>
      </c>
      <c r="G54">
        <f>(IF(AUtrue!AJ42&lt;$K$8, $K$1, IF(AUtrue!AJ42&lt;$J$8, $J$1, IF(AUtrue!AJ42&lt;$I$8, $I$1, IF(AUtrue!AJ42&gt;=$H$8, $H$1)))))*$L$8</f>
        <v>80</v>
      </c>
      <c r="H54">
        <v>0</v>
      </c>
      <c r="I54">
        <f>(IF(AUtrue!AS42="Poor",$K$1,IF(AUtrue!AS42="Fair",$J$1,IF(AUtrue!AS42="Good",$I$1,IF(AUtrue!AS42="Excellent",$H$1)))))*$L$10</f>
        <v>50</v>
      </c>
      <c r="J54">
        <f t="shared" si="0"/>
        <v>415</v>
      </c>
    </row>
    <row r="55" spans="1:10" x14ac:dyDescent="0.25">
      <c r="A55" t="str">
        <f>AUtrue!C43</f>
        <v>Street38</v>
      </c>
      <c r="B55">
        <f>(IF(AUtrue!K43&gt;$H$2, $H$1, IF(AUtrue!K43=$I$2, $I$1, IF(AUtrue!K43=$J$2, $J$1, IF(AUtrue!K43=$K$2, $K$1, 3)))))*$L$2</f>
        <v>45</v>
      </c>
      <c r="C55">
        <f>IF( OR( AUtrue!AK43&lt;$H$4, AUtrue!AK43&gt;$H$3 ), $H$1, IF( OR( AUtrue!AK43&lt;$I$4, AUtrue!AK43&gt;$I$3 ), $I$1, IF( OR( AUtrue!AK43&lt;$J$4, AUtrue!AK43&gt;$J$3 ), $J$1, IF( OR( AUtrue!AK43&lt;$K$3, AUtrue!AK43&gt;$K$4 ), $K$1)))) * $L$3</f>
        <v>60</v>
      </c>
      <c r="D55">
        <f>(IF(AUtrue!AB43="Y",$I$1, IF(AUtrue!AB43="N",$K$1)))*$L$5</f>
        <v>30</v>
      </c>
      <c r="E55">
        <f>(IF(AUtrue!AF43="Y", $H$1, IF(AUtrue!AF43="N", $K$1)))*$L$6</f>
        <v>75</v>
      </c>
      <c r="F55">
        <f>(IF(AUtrue!AC43="Y", $I$1, IF(AUtrue!AC43="N", $K$1)))*$L$7</f>
        <v>30</v>
      </c>
      <c r="G55">
        <f>(IF(AUtrue!AJ43&lt;$K$8, $K$1, IF(AUtrue!AJ43&lt;$J$8, $J$1, IF(AUtrue!AJ43&lt;$I$8, $I$1, IF(AUtrue!AJ43&gt;=$H$8, $H$1)))))*$L$8</f>
        <v>0</v>
      </c>
      <c r="H55">
        <v>0</v>
      </c>
      <c r="I55">
        <f>(IF(AUtrue!AS43="Poor",$K$1,IF(AUtrue!AS43="Fair",$J$1,IF(AUtrue!AS43="Good",$I$1,IF(AUtrue!AS43="Excellent",$H$1)))))*$L$10</f>
        <v>100</v>
      </c>
      <c r="J55">
        <f t="shared" si="0"/>
        <v>340</v>
      </c>
    </row>
    <row r="56" spans="1:10" x14ac:dyDescent="0.25">
      <c r="A56" t="str">
        <f>AUtrue!C44</f>
        <v>Street40</v>
      </c>
      <c r="B56">
        <f>(IF(AUtrue!K44&gt;$H$2, $H$1, IF(AUtrue!K44=$I$2, $I$1, IF(AUtrue!K44=$J$2, $J$1, IF(AUtrue!K44=$K$2, $K$1, 3)))))*$L$2</f>
        <v>45</v>
      </c>
      <c r="C56">
        <f>IF( OR( AUtrue!AK44&lt;$H$4, AUtrue!AK44&gt;$H$3 ), $H$1, IF( OR( AUtrue!AK44&lt;$I$4, AUtrue!AK44&gt;$I$3 ), $I$1, IF( OR( AUtrue!AK44&lt;$J$4, AUtrue!AK44&gt;$J$3 ), $J$1, IF( OR( AUtrue!AK44&lt;$K$3, AUtrue!AK44&gt;$K$4 ), $K$1)))) * $L$3</f>
        <v>60</v>
      </c>
      <c r="D56">
        <f>(IF(AUtrue!AB44="Y",$I$1, IF(AUtrue!AB44="N",$K$1)))*$L$5</f>
        <v>30</v>
      </c>
      <c r="E56">
        <f>(IF(AUtrue!AF44="Y", $H$1, IF(AUtrue!AF44="N", $K$1)))*$L$6</f>
        <v>75</v>
      </c>
      <c r="F56">
        <f>(IF(AUtrue!AC44="Y", $I$1, IF(AUtrue!AC44="N", $K$1)))*$L$7</f>
        <v>30</v>
      </c>
      <c r="G56">
        <f>(IF(AUtrue!AJ44&lt;$K$8, $K$1, IF(AUtrue!AJ44&lt;$J$8, $J$1, IF(AUtrue!AJ44&lt;$I$8, $I$1, IF(AUtrue!AJ44&gt;=$H$8, $H$1)))))*$L$8</f>
        <v>80</v>
      </c>
      <c r="H56">
        <v>0</v>
      </c>
      <c r="I56">
        <f>(IF(AUtrue!AS44="Poor",$K$1,IF(AUtrue!AS44="Fair",$J$1,IF(AUtrue!AS44="Good",$I$1,IF(AUtrue!AS44="Excellent",$H$1)))))*$L$10</f>
        <v>100</v>
      </c>
      <c r="J56">
        <f t="shared" si="0"/>
        <v>420</v>
      </c>
    </row>
    <row r="57" spans="1:10" x14ac:dyDescent="0.25">
      <c r="A57" t="str">
        <f>AUtrue!C45</f>
        <v>Street41</v>
      </c>
      <c r="B57">
        <f>(IF(AUtrue!K45&gt;$H$2, $H$1, IF(AUtrue!K45=$I$2, $I$1, IF(AUtrue!K45=$J$2, $J$1, IF(AUtrue!K45=$K$2, $K$1, 3)))))*$L$2</f>
        <v>45</v>
      </c>
      <c r="C57">
        <f>IF( OR( AUtrue!AK45&lt;$H$4, AUtrue!AK45&gt;$H$3 ), $H$1, IF( OR( AUtrue!AK45&lt;$I$4, AUtrue!AK45&gt;$I$3 ), $I$1, IF( OR( AUtrue!AK45&lt;$J$4, AUtrue!AK45&gt;$J$3 ), $J$1, IF( OR( AUtrue!AK45&lt;$K$3, AUtrue!AK45&gt;$K$4 ), $K$1)))) * $L$3</f>
        <v>60</v>
      </c>
      <c r="D57">
        <f>(IF(AUtrue!AB45="Y",$I$1, IF(AUtrue!AB45="N",$K$1)))*$L$5</f>
        <v>30</v>
      </c>
      <c r="E57">
        <f>(IF(AUtrue!AF45="Y", $H$1, IF(AUtrue!AF45="N", $K$1)))*$L$6</f>
        <v>75</v>
      </c>
      <c r="F57">
        <f>(IF(AUtrue!AC45="Y", $I$1, IF(AUtrue!AC45="N", $K$1)))*$L$7</f>
        <v>30</v>
      </c>
      <c r="G57">
        <f>(IF(AUtrue!AJ45&lt;$K$8, $K$1, IF(AUtrue!AJ45&lt;$J$8, $J$1, IF(AUtrue!AJ45&lt;$I$8, $I$1, IF(AUtrue!AJ45&gt;=$H$8, $H$1)))))*$L$8</f>
        <v>80</v>
      </c>
      <c r="H57">
        <v>0</v>
      </c>
      <c r="I57">
        <f>(IF(AUtrue!AS45="Poor",$K$1,IF(AUtrue!AS45="Fair",$J$1,IF(AUtrue!AS45="Good",$I$1,IF(AUtrue!AS45="Excellent",$H$1)))))*$L$10</f>
        <v>100</v>
      </c>
      <c r="J57">
        <f t="shared" si="0"/>
        <v>420</v>
      </c>
    </row>
    <row r="58" spans="1:10" x14ac:dyDescent="0.25">
      <c r="A58" t="str">
        <f>AUtrue!C46</f>
        <v>Street42</v>
      </c>
      <c r="B58">
        <f>(IF(AUtrue!K46&gt;$H$2, $H$1, IF(AUtrue!K46=$I$2, $I$1, IF(AUtrue!K46=$J$2, $J$1, IF(AUtrue!K46=$K$2, $K$1, 3)))))*$L$2</f>
        <v>45</v>
      </c>
      <c r="C58">
        <f>IF( OR( AUtrue!AK46&lt;$H$4, AUtrue!AK46&gt;$H$3 ), $H$1, IF( OR( AUtrue!AK46&lt;$I$4, AUtrue!AK46&gt;$I$3 ), $I$1, IF( OR( AUtrue!AK46&lt;$J$4, AUtrue!AK46&gt;$J$3 ), $J$1, IF( OR( AUtrue!AK46&lt;$K$3, AUtrue!AK46&gt;$K$4 ), $K$1)))) * $L$3</f>
        <v>60</v>
      </c>
      <c r="D58">
        <f>(IF(AUtrue!AB46="Y",$I$1, IF(AUtrue!AB46="N",$K$1)))*$L$5</f>
        <v>30</v>
      </c>
      <c r="E58">
        <f>(IF(AUtrue!AF46="Y", $H$1, IF(AUtrue!AF46="N", $K$1)))*$L$6</f>
        <v>75</v>
      </c>
      <c r="F58">
        <f>(IF(AUtrue!AC46="Y", $I$1, IF(AUtrue!AC46="N", $K$1)))*$L$7</f>
        <v>30</v>
      </c>
      <c r="G58">
        <f>(IF(AUtrue!AJ46&lt;$K$8, $K$1, IF(AUtrue!AJ46&lt;$J$8, $J$1, IF(AUtrue!AJ46&lt;$I$8, $I$1, IF(AUtrue!AJ46&gt;=$H$8, $H$1)))))*$L$8</f>
        <v>80</v>
      </c>
      <c r="H58">
        <v>0</v>
      </c>
      <c r="I58">
        <f>(IF(AUtrue!AS46="Poor",$K$1,IF(AUtrue!AS46="Fair",$J$1,IF(AUtrue!AS46="Good",$I$1,IF(AUtrue!AS46="Excellent",$H$1)))))*$L$10</f>
        <v>100</v>
      </c>
      <c r="J58">
        <f t="shared" si="0"/>
        <v>420</v>
      </c>
    </row>
    <row r="59" spans="1:10" x14ac:dyDescent="0.25">
      <c r="A59" t="str">
        <f>AUtrue!C47</f>
        <v>Street43</v>
      </c>
      <c r="B59">
        <f>(IF(AUtrue!K47&gt;$H$2, $H$1, IF(AUtrue!K47=$I$2, $I$1, IF(AUtrue!K47=$J$2, $J$1, IF(AUtrue!K47=$K$2, $K$1, 3)))))*$L$2</f>
        <v>45</v>
      </c>
      <c r="C59">
        <f>IF( OR( AUtrue!AK47&lt;$H$4, AUtrue!AK47&gt;$H$3 ), $H$1, IF( OR( AUtrue!AK47&lt;$I$4, AUtrue!AK47&gt;$I$3 ), $I$1, IF( OR( AUtrue!AK47&lt;$J$4, AUtrue!AK47&gt;$J$3 ), $J$1, IF( OR( AUtrue!AK47&lt;$K$3, AUtrue!AK47&gt;$K$4 ), $K$1)))) * $L$3</f>
        <v>60</v>
      </c>
      <c r="D59">
        <f>(IF(AUtrue!AB47="Y",$I$1, IF(AUtrue!AB47="N",$K$1)))*$L$5</f>
        <v>30</v>
      </c>
      <c r="E59">
        <f>(IF(AUtrue!AF47="Y", $H$1, IF(AUtrue!AF47="N", $K$1)))*$L$6</f>
        <v>75</v>
      </c>
      <c r="F59">
        <f>(IF(AUtrue!AC47="Y", $I$1, IF(AUtrue!AC47="N", $K$1)))*$L$7</f>
        <v>30</v>
      </c>
      <c r="G59">
        <f>(IF(AUtrue!AJ47&lt;$K$8, $K$1, IF(AUtrue!AJ47&lt;$J$8, $J$1, IF(AUtrue!AJ47&lt;$I$8, $I$1, IF(AUtrue!AJ47&gt;=$H$8, $H$1)))))*$L$8</f>
        <v>160</v>
      </c>
      <c r="H59">
        <v>0</v>
      </c>
      <c r="I59">
        <f>(IF(AUtrue!AS47="Poor",$K$1,IF(AUtrue!AS47="Fair",$J$1,IF(AUtrue!AS47="Good",$I$1,IF(AUtrue!AS47="Excellent",$H$1)))))*$L$10</f>
        <v>150</v>
      </c>
      <c r="J59">
        <f t="shared" si="0"/>
        <v>550</v>
      </c>
    </row>
    <row r="60" spans="1:10" x14ac:dyDescent="0.25">
      <c r="A60" t="str">
        <f>AUtrue!C48</f>
        <v>Street44</v>
      </c>
      <c r="B60">
        <f>(IF(AUtrue!K48&gt;$H$2, $H$1, IF(AUtrue!K48=$I$2, $I$1, IF(AUtrue!K48=$J$2, $J$1, IF(AUtrue!K48=$K$2, $K$1, 3)))))*$L$2</f>
        <v>45</v>
      </c>
      <c r="C60">
        <f>IF( OR( AUtrue!AK48&lt;$H$4, AUtrue!AK48&gt;$H$3 ), $H$1, IF( OR( AUtrue!AK48&lt;$I$4, AUtrue!AK48&gt;$I$3 ), $I$1, IF( OR( AUtrue!AK48&lt;$J$4, AUtrue!AK48&gt;$J$3 ), $J$1, IF( OR( AUtrue!AK48&lt;$K$3, AUtrue!AK48&gt;$K$4 ), $K$1)))) * $L$3</f>
        <v>60</v>
      </c>
      <c r="D60">
        <f>(IF(AUtrue!AB48="Y",$I$1, IF(AUtrue!AB48="N",$K$1)))*$L$5</f>
        <v>30</v>
      </c>
      <c r="E60">
        <f>(IF(AUtrue!AF48="Y", $H$1, IF(AUtrue!AF48="N", $K$1)))*$L$6</f>
        <v>75</v>
      </c>
      <c r="F60">
        <f>(IF(AUtrue!AC48="Y", $I$1, IF(AUtrue!AC48="N", $K$1)))*$L$7</f>
        <v>30</v>
      </c>
      <c r="G60">
        <f>(IF(AUtrue!AJ48&lt;$K$8, $K$1, IF(AUtrue!AJ48&lt;$J$8, $J$1, IF(AUtrue!AJ48&lt;$I$8, $I$1, IF(AUtrue!AJ48&gt;=$H$8, $H$1)))))*$L$8</f>
        <v>160</v>
      </c>
      <c r="H60">
        <v>0</v>
      </c>
      <c r="I60">
        <f>(IF(AUtrue!AS48="Poor",$K$1,IF(AUtrue!AS48="Fair",$J$1,IF(AUtrue!AS48="Good",$I$1,IF(AUtrue!AS48="Excellent",$H$1)))))*$L$10</f>
        <v>150</v>
      </c>
      <c r="J60">
        <f t="shared" si="0"/>
        <v>550</v>
      </c>
    </row>
    <row r="61" spans="1:10" x14ac:dyDescent="0.25">
      <c r="A61" t="str">
        <f>AUtrue!C49</f>
        <v>Street45</v>
      </c>
      <c r="B61">
        <f>(IF(AUtrue!K49&gt;$H$2, $H$1, IF(AUtrue!K49=$I$2, $I$1, IF(AUtrue!K49=$J$2, $J$1, IF(AUtrue!K49=$K$2, $K$1, 3)))))*$L$2</f>
        <v>45</v>
      </c>
      <c r="C61">
        <f>IF( OR( AUtrue!AK49&lt;$H$4, AUtrue!AK49&gt;$H$3 ), $H$1, IF( OR( AUtrue!AK49&lt;$I$4, AUtrue!AK49&gt;$I$3 ), $I$1, IF( OR( AUtrue!AK49&lt;$J$4, AUtrue!AK49&gt;$J$3 ), $J$1, IF( OR( AUtrue!AK49&lt;$K$3, AUtrue!AK49&gt;$K$4 ), $K$1)))) * $L$3</f>
        <v>0</v>
      </c>
      <c r="D61">
        <f>(IF(AUtrue!AB49="Y",$I$1, IF(AUtrue!AB49="N",$K$1)))*$L$5</f>
        <v>10</v>
      </c>
      <c r="E61">
        <f>(IF(AUtrue!AF49="Y", $H$1, IF(AUtrue!AF49="N", $K$1)))*$L$6</f>
        <v>75</v>
      </c>
      <c r="F61">
        <f>(IF(AUtrue!AC49="Y", $I$1, IF(AUtrue!AC49="N", $K$1)))*$L$7</f>
        <v>30</v>
      </c>
      <c r="G61">
        <f>(IF(AUtrue!AJ49&lt;$K$8, $K$1, IF(AUtrue!AJ49&lt;$J$8, $J$1, IF(AUtrue!AJ49&lt;$I$8, $I$1, IF(AUtrue!AJ49&gt;=$H$8, $H$1)))))*$L$8</f>
        <v>160</v>
      </c>
      <c r="H61">
        <v>0</v>
      </c>
      <c r="I61">
        <f>(IF(AUtrue!AS49="Poor",$K$1,IF(AUtrue!AS49="Fair",$J$1,IF(AUtrue!AS49="Good",$I$1,IF(AUtrue!AS49="Excellent",$H$1)))))*$L$10</f>
        <v>150</v>
      </c>
      <c r="J61">
        <f t="shared" si="0"/>
        <v>470</v>
      </c>
    </row>
    <row r="62" spans="1:10" x14ac:dyDescent="0.25">
      <c r="A62" t="str">
        <f>AUtrue!C50</f>
        <v>Street46</v>
      </c>
      <c r="B62">
        <f>(IF(AUtrue!K50&gt;$H$2, $H$1, IF(AUtrue!K50=$I$2, $I$1, IF(AUtrue!K50=$J$2, $J$1, IF(AUtrue!K50=$K$2, $K$1, 3)))))*$L$2</f>
        <v>45</v>
      </c>
      <c r="C62">
        <f>IF( OR( AUtrue!AK50&lt;$H$4, AUtrue!AK50&gt;$H$3 ), $H$1, IF( OR( AUtrue!AK50&lt;$I$4, AUtrue!AK50&gt;$I$3 ), $I$1, IF( OR( AUtrue!AK50&lt;$J$4, AUtrue!AK50&gt;$J$3 ), $J$1, IF( OR( AUtrue!AK50&lt;$K$3, AUtrue!AK50&gt;$K$4 ), $K$1)))) * $L$3</f>
        <v>0</v>
      </c>
      <c r="D62">
        <f>(IF(AUtrue!AB50="Y",$I$1, IF(AUtrue!AB50="N",$K$1)))*$L$5</f>
        <v>30</v>
      </c>
      <c r="E62">
        <f>(IF(AUtrue!AF50="Y", $H$1, IF(AUtrue!AF50="N", $K$1)))*$L$6</f>
        <v>0</v>
      </c>
      <c r="F62">
        <f>(IF(AUtrue!AC50="Y", $I$1, IF(AUtrue!AC50="N", $K$1)))*$L$7</f>
        <v>10</v>
      </c>
      <c r="G62">
        <f>(IF(AUtrue!AJ50&lt;$K$8, $K$1, IF(AUtrue!AJ50&lt;$J$8, $J$1, IF(AUtrue!AJ50&lt;$I$8, $I$1, IF(AUtrue!AJ50&gt;=$H$8, $H$1)))))*$L$8</f>
        <v>160</v>
      </c>
      <c r="H62">
        <v>0</v>
      </c>
      <c r="I62">
        <f>(IF(AUtrue!AS50="Poor",$K$1,IF(AUtrue!AS50="Fair",$J$1,IF(AUtrue!AS50="Good",$I$1,IF(AUtrue!AS50="Excellent",$H$1)))))*$L$10</f>
        <v>100</v>
      </c>
      <c r="J62">
        <f t="shared" si="0"/>
        <v>345</v>
      </c>
    </row>
    <row r="63" spans="1:10" x14ac:dyDescent="0.25">
      <c r="A63" t="str">
        <f>AUtrue!C51</f>
        <v>Street47</v>
      </c>
      <c r="B63">
        <f>(IF(AUtrue!K51&gt;$H$2, $H$1, IF(AUtrue!K51=$I$2, $I$1, IF(AUtrue!K51=$J$2, $J$1, IF(AUtrue!K51=$K$2, $K$1, 3)))))*$L$2</f>
        <v>45</v>
      </c>
      <c r="C63">
        <f>IF( OR( AUtrue!AK51&lt;$H$4, AUtrue!AK51&gt;$H$3 ), $H$1, IF( OR( AUtrue!AK51&lt;$I$4, AUtrue!AK51&gt;$I$3 ), $I$1, IF( OR( AUtrue!AK51&lt;$J$4, AUtrue!AK51&gt;$J$3 ), $J$1, IF( OR( AUtrue!AK51&lt;$K$3, AUtrue!AK51&gt;$K$4 ), $K$1)))) * $L$3</f>
        <v>0</v>
      </c>
      <c r="D63">
        <f>(IF(AUtrue!AB51="Y",$I$1, IF(AUtrue!AB51="N",$K$1)))*$L$5</f>
        <v>30</v>
      </c>
      <c r="E63">
        <f>(IF(AUtrue!AF51="Y", $H$1, IF(AUtrue!AF51="N", $K$1)))*$L$6</f>
        <v>75</v>
      </c>
      <c r="F63">
        <f>(IF(AUtrue!AC51="Y", $I$1, IF(AUtrue!AC51="N", $K$1)))*$L$7</f>
        <v>30</v>
      </c>
      <c r="G63">
        <f>(IF(AUtrue!AJ51&lt;$K$8, $K$1, IF(AUtrue!AJ51&lt;$J$8, $J$1, IF(AUtrue!AJ51&lt;$I$8, $I$1, IF(AUtrue!AJ51&gt;=$H$8, $H$1)))))*$L$8</f>
        <v>0</v>
      </c>
      <c r="H63">
        <v>0</v>
      </c>
      <c r="I63">
        <f>(IF(AUtrue!AS51="Poor",$K$1,IF(AUtrue!AS51="Fair",$J$1,IF(AUtrue!AS51="Good",$I$1,IF(AUtrue!AS51="Excellent",$H$1)))))*$L$10</f>
        <v>100</v>
      </c>
      <c r="J63">
        <f t="shared" si="0"/>
        <v>280</v>
      </c>
    </row>
    <row r="64" spans="1:10" x14ac:dyDescent="0.25">
      <c r="A64" t="str">
        <f>AUtrue!C52</f>
        <v>Street48</v>
      </c>
      <c r="B64">
        <f>(IF(AUtrue!K52&gt;$H$2, $H$1, IF(AUtrue!K52=$I$2, $I$1, IF(AUtrue!K52=$J$2, $J$1, IF(AUtrue!K52=$K$2, $K$1, 3)))))*$L$2</f>
        <v>45</v>
      </c>
      <c r="C64">
        <f>IF( OR( AUtrue!AK52&lt;$H$4, AUtrue!AK52&gt;$H$3 ), $H$1, IF( OR( AUtrue!AK52&lt;$I$4, AUtrue!AK52&gt;$I$3 ), $I$1, IF( OR( AUtrue!AK52&lt;$J$4, AUtrue!AK52&gt;$J$3 ), $J$1, IF( OR( AUtrue!AK52&lt;$K$3, AUtrue!AK52&gt;$K$4 ), $K$1)))) * $L$3</f>
        <v>0</v>
      </c>
      <c r="D64">
        <f>(IF(AUtrue!AB52="Y",$I$1, IF(AUtrue!AB52="N",$K$1)))*$L$5</f>
        <v>30</v>
      </c>
      <c r="E64">
        <f>(IF(AUtrue!AF52="Y", $H$1, IF(AUtrue!AF52="N", $K$1)))*$L$6</f>
        <v>75</v>
      </c>
      <c r="F64">
        <f>(IF(AUtrue!AC52="Y", $I$1, IF(AUtrue!AC52="N", $K$1)))*$L$7</f>
        <v>30</v>
      </c>
      <c r="G64">
        <f>(IF(AUtrue!AJ52&lt;$K$8, $K$1, IF(AUtrue!AJ52&lt;$J$8, $J$1, IF(AUtrue!AJ52&lt;$I$8, $I$1, IF(AUtrue!AJ52&gt;=$H$8, $H$1)))))*$L$8</f>
        <v>0</v>
      </c>
      <c r="H64">
        <v>0</v>
      </c>
      <c r="I64">
        <f>(IF(AUtrue!AS52="Poor",$K$1,IF(AUtrue!AS52="Fair",$J$1,IF(AUtrue!AS52="Good",$I$1,IF(AUtrue!AS52="Excellent",$H$1)))))*$L$10</f>
        <v>100</v>
      </c>
      <c r="J64">
        <f t="shared" si="0"/>
        <v>280</v>
      </c>
    </row>
    <row r="65" spans="1:10" x14ac:dyDescent="0.25">
      <c r="A65" t="str">
        <f>AUtrue!C53</f>
        <v>Street49</v>
      </c>
      <c r="B65">
        <f>(IF(AUtrue!K53&gt;$H$2, $H$1, IF(AUtrue!K53=$I$2, $I$1, IF(AUtrue!K53=$J$2, $J$1, IF(AUtrue!K53=$K$2, $K$1, 3)))))*$L$2</f>
        <v>45</v>
      </c>
      <c r="C65">
        <f>IF( OR( AUtrue!AK53&lt;$H$4, AUtrue!AK53&gt;$H$3 ), $H$1, IF( OR( AUtrue!AK53&lt;$I$4, AUtrue!AK53&gt;$I$3 ), $I$1, IF( OR( AUtrue!AK53&lt;$J$4, AUtrue!AK53&gt;$J$3 ), $J$1, IF( OR( AUtrue!AK53&lt;$K$3, AUtrue!AK53&gt;$K$4 ), $K$1)))) * $L$3</f>
        <v>0</v>
      </c>
      <c r="D65">
        <f>(IF(AUtrue!AB53="Y",$I$1, IF(AUtrue!AB53="N",$K$1)))*$L$5</f>
        <v>10</v>
      </c>
      <c r="E65">
        <f>(IF(AUtrue!AF53="Y", $H$1, IF(AUtrue!AF53="N", $K$1)))*$L$6</f>
        <v>0</v>
      </c>
      <c r="F65">
        <f>(IF(AUtrue!AC53="Y", $I$1, IF(AUtrue!AC53="N", $K$1)))*$L$7</f>
        <v>10</v>
      </c>
      <c r="G65">
        <f>(IF(AUtrue!AJ53&lt;$K$8, $K$1, IF(AUtrue!AJ53&lt;$J$8, $J$1, IF(AUtrue!AJ53&lt;$I$8, $I$1, IF(AUtrue!AJ53&gt;=$H$8, $H$1)))))*$L$8</f>
        <v>0</v>
      </c>
      <c r="H65">
        <v>0</v>
      </c>
      <c r="I65">
        <f>(IF(AUtrue!AS53="Poor",$K$1,IF(AUtrue!AS53="Fair",$J$1,IF(AUtrue!AS53="Good",$I$1,IF(AUtrue!AS53="Excellent",$H$1)))))*$L$10</f>
        <v>100</v>
      </c>
      <c r="J65">
        <f t="shared" si="0"/>
        <v>165</v>
      </c>
    </row>
    <row r="66" spans="1:10" x14ac:dyDescent="0.25">
      <c r="A66" t="str">
        <f>AUtrue!C54</f>
        <v>Street52</v>
      </c>
      <c r="B66">
        <f>(IF(AUtrue!K54&gt;$H$2, $H$1, IF(AUtrue!K54=$I$2, $I$1, IF(AUtrue!K54=$J$2, $J$1, IF(AUtrue!K54=$K$2, $K$1, 3)))))*$L$2</f>
        <v>30</v>
      </c>
      <c r="C66">
        <f>IF( OR( AUtrue!AK54&lt;$H$4, AUtrue!AK54&gt;$H$3 ), $H$1, IF( OR( AUtrue!AK54&lt;$I$4, AUtrue!AK54&gt;$I$3 ), $I$1, IF( OR( AUtrue!AK54&lt;$J$4, AUtrue!AK54&gt;$J$3 ), $J$1, IF( OR( AUtrue!AK54&lt;$K$3, AUtrue!AK54&gt;$K$4 ), $K$1)))) * $L$3</f>
        <v>180</v>
      </c>
      <c r="D66">
        <f>(IF(AUtrue!AB54="Y",$I$1, IF(AUtrue!AB54="N",$K$1)))*$L$5</f>
        <v>30</v>
      </c>
      <c r="E66">
        <f>(IF(AUtrue!AF54="Y", $H$1, IF(AUtrue!AF54="N", $K$1)))*$L$6</f>
        <v>75</v>
      </c>
      <c r="F66">
        <f>(IF(AUtrue!AC54="Y", $I$1, IF(AUtrue!AC54="N", $K$1)))*$L$7</f>
        <v>10</v>
      </c>
      <c r="G66">
        <f>(IF(AUtrue!AJ54&lt;$K$8, $K$1, IF(AUtrue!AJ54&lt;$J$8, $J$1, IF(AUtrue!AJ54&lt;$I$8, $I$1, IF(AUtrue!AJ54&gt;=$H$8, $H$1)))))*$L$8</f>
        <v>0</v>
      </c>
      <c r="H66">
        <v>0</v>
      </c>
      <c r="I66">
        <f>(IF(AUtrue!AS54="Poor",$K$1,IF(AUtrue!AS54="Fair",$J$1,IF(AUtrue!AS54="Good",$I$1,IF(AUtrue!AS54="Excellent",$H$1)))))*$L$10</f>
        <v>100</v>
      </c>
      <c r="J66">
        <f t="shared" si="0"/>
        <v>425</v>
      </c>
    </row>
    <row r="67" spans="1:10" x14ac:dyDescent="0.25">
      <c r="A67" t="e">
        <f>AUtrue!#REF!</f>
        <v>#REF!</v>
      </c>
      <c r="B67" t="e">
        <f>(IF(AUtrue!#REF!&gt;$H$2, $H$1, IF(AUtrue!#REF!=$I$2, $I$1, IF(AUtrue!#REF!=$J$2, $J$1, IF(AUtrue!#REF!=$K$2, $K$1, 3)))))*$L$2</f>
        <v>#REF!</v>
      </c>
      <c r="C67" t="e">
        <f>IF( OR( AUtrue!#REF!&lt;$H$4, AUtrue!#REF!&gt;$H$3 ), $H$1, IF( OR( AUtrue!#REF!&lt;$I$4, AUtrue!#REF!&gt;$I$3 ), $I$1, IF( OR( AUtrue!#REF!&lt;$J$4, AUtrue!#REF!&gt;$J$3 ), $J$1, IF( OR( AUtrue!#REF!&lt;$K$3, AUtrue!#REF!&gt;$K$4 ), $K$1)))) * $L$3</f>
        <v>#REF!</v>
      </c>
      <c r="D67" t="e">
        <f>(IF(AUtrue!#REF!="Y",$I$1, IF(AUtrue!#REF!="N",$K$1)))*$L$5</f>
        <v>#REF!</v>
      </c>
      <c r="E67" t="e">
        <f>(IF(AUtrue!#REF!="Y", $H$1, IF(AUtrue!#REF!="N", $K$1)))*$L$6</f>
        <v>#REF!</v>
      </c>
      <c r="F67" t="e">
        <f>(IF(AUtrue!#REF!="Y", $I$1, IF(AUtrue!#REF!="N", $K$1)))*$L$7</f>
        <v>#REF!</v>
      </c>
      <c r="G67" t="e">
        <f>(IF(AUtrue!#REF!&lt;$K$8, $K$1, IF(AUtrue!#REF!&lt;$J$8, $J$1, IF(AUtrue!#REF!&lt;$I$8, $I$1, IF(AUtrue!#REF!&gt;=$H$8, $H$1)))))*$L$8</f>
        <v>#REF!</v>
      </c>
      <c r="H67">
        <v>0</v>
      </c>
      <c r="I67" t="e">
        <f>(IF(AUtrue!#REF!="Poor",$K$1,IF(AUtrue!#REF!="Fair",$J$1,IF(AUtrue!#REF!="Good",$I$1,IF(AUtrue!#REF!="Excellent",$H$1)))))*$L$10</f>
        <v>#REF!</v>
      </c>
      <c r="J67" t="e">
        <f t="shared" ref="J67:J68" si="1">SUM(B67:I67)</f>
        <v>#REF!</v>
      </c>
    </row>
    <row r="68" spans="1:10" x14ac:dyDescent="0.25">
      <c r="A68" t="e">
        <f>AUtrue!#REF!</f>
        <v>#REF!</v>
      </c>
      <c r="B68" t="e">
        <f>(IF(AUtrue!#REF!&gt;$H$2, $H$1, IF(AUtrue!#REF!=$I$2, $I$1, IF(AUtrue!#REF!=$J$2, $J$1, IF(AUtrue!#REF!=$K$2, $K$1, 3)))))*$L$2</f>
        <v>#REF!</v>
      </c>
      <c r="C68" t="e">
        <f>IF( OR( AUtrue!#REF!&lt;$H$4, AUtrue!#REF!&gt;$H$3 ), $H$1, IF( OR( AUtrue!#REF!&lt;$I$4, AUtrue!#REF!&gt;$I$3 ), $I$1, IF( OR( AUtrue!#REF!&lt;$J$4, AUtrue!#REF!&gt;$J$3 ), $J$1, IF( OR( AUtrue!#REF!&lt;$K$3, AUtrue!#REF!&gt;$K$4 ), $K$1)))) * $L$3</f>
        <v>#REF!</v>
      </c>
      <c r="D68" t="e">
        <f>(IF(AUtrue!#REF!="Y",$I$1, IF(AUtrue!#REF!="N",$K$1)))*$L$5</f>
        <v>#REF!</v>
      </c>
      <c r="E68" t="e">
        <f>(IF(AUtrue!#REF!="Y", $H$1, IF(AUtrue!#REF!="N", $K$1)))*$L$6</f>
        <v>#REF!</v>
      </c>
      <c r="F68" t="e">
        <f>(IF(AUtrue!#REF!="Y", $I$1, IF(AUtrue!#REF!="N", $K$1)))*$L$7</f>
        <v>#REF!</v>
      </c>
      <c r="G68" t="e">
        <f>(IF(AUtrue!#REF!&lt;$K$8, $K$1, IF(AUtrue!#REF!&lt;$J$8, $J$1, IF(AUtrue!#REF!&lt;$I$8, $I$1, IF(AUtrue!#REF!&gt;=$H$8, $H$1)))))*$L$8</f>
        <v>#REF!</v>
      </c>
      <c r="H68">
        <v>0</v>
      </c>
      <c r="I68" t="e">
        <f>(IF(AUtrue!#REF!="Poor",$K$1,IF(AUtrue!#REF!="Fair",$J$1,IF(AUtrue!#REF!="Good",$I$1,IF(AUtrue!#REF!="Excellent",$H$1)))))*$L$10</f>
        <v>#REF!</v>
      </c>
      <c r="J68" t="e">
        <f t="shared" si="1"/>
        <v>#REF!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35"/>
  <sheetViews>
    <sheetView workbookViewId="0">
      <selection activeCell="K31" sqref="K31"/>
    </sheetView>
  </sheetViews>
  <sheetFormatPr defaultRowHeight="15" x14ac:dyDescent="0.25"/>
  <cols>
    <col min="1" max="1" width="38.5703125" bestFit="1" customWidth="1"/>
  </cols>
  <sheetData>
    <row r="1" spans="1:2" x14ac:dyDescent="0.25">
      <c r="A1" s="11" t="s">
        <v>74</v>
      </c>
      <c r="B1" s="11" t="s">
        <v>75</v>
      </c>
    </row>
    <row r="2" spans="1:2" x14ac:dyDescent="0.25">
      <c r="A2" t="str">
        <f>'Score Matrix'!A45</f>
        <v>Street49</v>
      </c>
      <c r="B2">
        <f>'Score Matrix'!J45</f>
        <v>165</v>
      </c>
    </row>
    <row r="3" spans="1:2" x14ac:dyDescent="0.25">
      <c r="A3" t="str">
        <f>'Score Matrix'!A14</f>
        <v>Street10</v>
      </c>
      <c r="B3">
        <f>'Score Matrix'!J14</f>
        <v>215</v>
      </c>
    </row>
    <row r="4" spans="1:2" x14ac:dyDescent="0.25">
      <c r="A4" t="str">
        <f>'Score Matrix'!A44</f>
        <v>Street48</v>
      </c>
      <c r="B4">
        <f>'Score Matrix'!J44</f>
        <v>280</v>
      </c>
    </row>
    <row r="5" spans="1:2" x14ac:dyDescent="0.25">
      <c r="A5" t="str">
        <f>'Score Matrix'!A63</f>
        <v>Street47</v>
      </c>
      <c r="B5">
        <f>'Score Matrix'!J63</f>
        <v>280</v>
      </c>
    </row>
    <row r="6" spans="1:2" x14ac:dyDescent="0.25">
      <c r="A6" t="str">
        <f>'Score Matrix'!A26</f>
        <v>Street28</v>
      </c>
      <c r="B6">
        <f>'Score Matrix'!J26</f>
        <v>315</v>
      </c>
    </row>
    <row r="7" spans="1:2" x14ac:dyDescent="0.25">
      <c r="A7" t="str">
        <f>'Score Matrix'!A20</f>
        <v>Street19</v>
      </c>
      <c r="B7">
        <f>'Score Matrix'!J20</f>
        <v>330</v>
      </c>
    </row>
    <row r="8" spans="1:2" x14ac:dyDescent="0.25">
      <c r="A8" t="str">
        <f>'Score Matrix'!A36</f>
        <v>Street18</v>
      </c>
      <c r="B8">
        <f>'Score Matrix'!J36</f>
        <v>330</v>
      </c>
    </row>
    <row r="9" spans="1:2" x14ac:dyDescent="0.25">
      <c r="A9" t="str">
        <f>'Score Matrix'!A35</f>
        <v>Street38</v>
      </c>
      <c r="B9">
        <f>'Score Matrix'!J35</f>
        <v>340</v>
      </c>
    </row>
    <row r="10" spans="1:2" x14ac:dyDescent="0.25">
      <c r="A10" t="str">
        <f>'Score Matrix'!A30</f>
        <v>Street32</v>
      </c>
      <c r="B10">
        <f>'Score Matrix'!J30</f>
        <v>345</v>
      </c>
    </row>
    <row r="11" spans="1:2" x14ac:dyDescent="0.25">
      <c r="A11" t="str">
        <f>'Score Matrix'!A51</f>
        <v>Street33</v>
      </c>
      <c r="B11">
        <f>'Score Matrix'!J51</f>
        <v>345</v>
      </c>
    </row>
    <row r="12" spans="1:2" x14ac:dyDescent="0.25">
      <c r="A12" t="str">
        <f>'Score Matrix'!A62</f>
        <v>Street46</v>
      </c>
      <c r="B12">
        <f>'Score Matrix'!J62</f>
        <v>345</v>
      </c>
    </row>
    <row r="13" spans="1:2" x14ac:dyDescent="0.25">
      <c r="A13" t="str">
        <f>'Score Matrix'!A17</f>
        <v>Street15</v>
      </c>
      <c r="B13">
        <f>'Score Matrix'!J17</f>
        <v>350</v>
      </c>
    </row>
    <row r="14" spans="1:2" x14ac:dyDescent="0.25">
      <c r="A14" t="str">
        <f>'Score Matrix'!A18</f>
        <v>Street16</v>
      </c>
      <c r="B14">
        <f>'Score Matrix'!J18</f>
        <v>350</v>
      </c>
    </row>
    <row r="15" spans="1:2" x14ac:dyDescent="0.25">
      <c r="A15" t="str">
        <f>'Score Matrix'!A15</f>
        <v>Street13</v>
      </c>
      <c r="B15">
        <f>'Score Matrix'!J15</f>
        <v>365</v>
      </c>
    </row>
    <row r="16" spans="1:2" x14ac:dyDescent="0.25">
      <c r="A16" t="str">
        <f>'Score Matrix'!A13</f>
        <v>Street1</v>
      </c>
      <c r="B16">
        <f>'Score Matrix'!J13</f>
        <v>380</v>
      </c>
    </row>
    <row r="17" spans="1:2" x14ac:dyDescent="0.25">
      <c r="A17" t="str">
        <f>'Score Matrix'!A21</f>
        <v>Street21</v>
      </c>
      <c r="B17">
        <f>'Score Matrix'!J21</f>
        <v>385</v>
      </c>
    </row>
    <row r="18" spans="1:2" x14ac:dyDescent="0.25">
      <c r="A18" t="str">
        <f>'Score Matrix'!A22</f>
        <v>Street22</v>
      </c>
      <c r="B18">
        <f>'Score Matrix'!J22</f>
        <v>385</v>
      </c>
    </row>
    <row r="19" spans="1:2" x14ac:dyDescent="0.25">
      <c r="A19" t="str">
        <f>'Score Matrix'!A27</f>
        <v>Street29</v>
      </c>
      <c r="B19">
        <f>'Score Matrix'!J27</f>
        <v>395</v>
      </c>
    </row>
    <row r="20" spans="1:2" x14ac:dyDescent="0.25">
      <c r="A20" t="str">
        <f>'Score Matrix'!A23</f>
        <v>Street23</v>
      </c>
      <c r="B20">
        <f>'Score Matrix'!J23</f>
        <v>405</v>
      </c>
    </row>
    <row r="21" spans="1:2" x14ac:dyDescent="0.25">
      <c r="A21" t="str">
        <f>'Score Matrix'!A24</f>
        <v>Street24</v>
      </c>
      <c r="B21">
        <f>'Score Matrix'!J24</f>
        <v>405</v>
      </c>
    </row>
    <row r="22" spans="1:2" x14ac:dyDescent="0.25">
      <c r="A22" t="str">
        <f>'Score Matrix'!A25</f>
        <v>Street25</v>
      </c>
      <c r="B22">
        <f>'Score Matrix'!J25</f>
        <v>405</v>
      </c>
    </row>
    <row r="23" spans="1:2" x14ac:dyDescent="0.25">
      <c r="A23" t="str">
        <f>'Score Matrix'!A53</f>
        <v>Street35</v>
      </c>
      <c r="B23">
        <f>'Score Matrix'!J53</f>
        <v>415</v>
      </c>
    </row>
    <row r="24" spans="1:2" x14ac:dyDescent="0.25">
      <c r="A24" t="str">
        <f>'Score Matrix'!A54</f>
        <v>Street36</v>
      </c>
      <c r="B24">
        <f>'Score Matrix'!J54</f>
        <v>415</v>
      </c>
    </row>
    <row r="25" spans="1:2" x14ac:dyDescent="0.25">
      <c r="A25" t="str">
        <f>'Score Matrix'!A38</f>
        <v>Street42</v>
      </c>
      <c r="B25">
        <f>'Score Matrix'!J38</f>
        <v>420</v>
      </c>
    </row>
    <row r="26" spans="1:2" x14ac:dyDescent="0.25">
      <c r="A26" t="str">
        <f>'Score Matrix'!A56</f>
        <v>Street40</v>
      </c>
      <c r="B26">
        <f>'Score Matrix'!J56</f>
        <v>420</v>
      </c>
    </row>
    <row r="27" spans="1:2" x14ac:dyDescent="0.25">
      <c r="A27" t="str">
        <f>'Score Matrix'!A57</f>
        <v>Street41</v>
      </c>
      <c r="B27">
        <f>'Score Matrix'!J57</f>
        <v>420</v>
      </c>
    </row>
    <row r="28" spans="1:2" x14ac:dyDescent="0.25">
      <c r="A28" t="str">
        <f>'Score Matrix'!A16</f>
        <v>Street14</v>
      </c>
      <c r="B28">
        <f>'Score Matrix'!J16</f>
        <v>425</v>
      </c>
    </row>
    <row r="29" spans="1:2" x14ac:dyDescent="0.25">
      <c r="A29" t="str">
        <f>'Score Matrix'!A66</f>
        <v>Street52</v>
      </c>
      <c r="B29">
        <f>'Score Matrix'!J66</f>
        <v>425</v>
      </c>
    </row>
    <row r="30" spans="1:2" x14ac:dyDescent="0.25">
      <c r="A30" t="str">
        <f>'Score Matrix'!A52</f>
        <v>Street34</v>
      </c>
      <c r="B30">
        <f>'Score Matrix'!J52</f>
        <v>470</v>
      </c>
    </row>
    <row r="31" spans="1:2" x14ac:dyDescent="0.25">
      <c r="A31" t="str">
        <f>'Score Matrix'!A61</f>
        <v>Street45</v>
      </c>
      <c r="B31">
        <f>'Score Matrix'!J61</f>
        <v>470</v>
      </c>
    </row>
    <row r="32" spans="1:2" x14ac:dyDescent="0.25">
      <c r="A32" t="str">
        <f>'Score Matrix'!A29</f>
        <v>Street31</v>
      </c>
      <c r="B32">
        <f>'Score Matrix'!J29</f>
        <v>480</v>
      </c>
    </row>
    <row r="33" spans="1:2" x14ac:dyDescent="0.25">
      <c r="A33" t="str">
        <f>'Score Matrix'!A48</f>
        <v>Street30</v>
      </c>
      <c r="B33">
        <f>'Score Matrix'!J48</f>
        <v>480</v>
      </c>
    </row>
    <row r="34" spans="1:2" x14ac:dyDescent="0.25">
      <c r="A34" t="str">
        <f>'Score Matrix'!A59</f>
        <v>Street43</v>
      </c>
      <c r="B34">
        <f>'Score Matrix'!J59</f>
        <v>550</v>
      </c>
    </row>
    <row r="35" spans="1:2" x14ac:dyDescent="0.25">
      <c r="A35" t="str">
        <f>'Score Matrix'!A60</f>
        <v>Street44</v>
      </c>
      <c r="B35">
        <f>'Score Matrix'!J60</f>
        <v>550</v>
      </c>
    </row>
  </sheetData>
  <sortState ref="A2:B1000">
    <sortCondition ref="B2:B1000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RankScores">
                <anchor moveWithCells="1" sizeWithCells="1">
                  <from>
                    <xdr:col>8</xdr:col>
                    <xdr:colOff>180975</xdr:colOff>
                    <xdr:row>3</xdr:row>
                    <xdr:rowOff>142875</xdr:rowOff>
                  </from>
                  <to>
                    <xdr:col>14</xdr:col>
                    <xdr:colOff>533400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Directions</vt:lpstr>
      <vt:lpstr>data</vt:lpstr>
      <vt:lpstr>AUtrue</vt:lpstr>
      <vt:lpstr>Score Matrix</vt:lpstr>
      <vt:lpstr>Ranked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Michael C. Harris</cp:lastModifiedBy>
  <cp:lastPrinted>2017-03-09T19:49:37Z</cp:lastPrinted>
  <dcterms:created xsi:type="dcterms:W3CDTF">2016-12-30T15:09:17Z</dcterms:created>
  <dcterms:modified xsi:type="dcterms:W3CDTF">2017-03-09T19:53:34Z</dcterms:modified>
</cp:coreProperties>
</file>